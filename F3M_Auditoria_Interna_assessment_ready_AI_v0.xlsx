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jcolomerflores_deloitte_es/Documents/00 FINANCE STRATEGY/01 PROYECTO F3M/Auditoría interna/"/>
    </mc:Choice>
  </mc:AlternateContent>
  <xr:revisionPtr revIDLastSave="0" documentId="8_{BD603192-440B-466E-ADCA-F178D0739D2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ssessment" sheetId="1" r:id="rId1"/>
    <sheet name="Resumen" sheetId="2" r:id="rId2"/>
    <sheet name="Heatmap" sheetId="3" r:id="rId3"/>
    <sheet name="Roadmap" sheetId="4" r:id="rId4"/>
    <sheet name="AI Overlay" sheetId="5" r:id="rId5"/>
    <sheet name="Guias scoring" sheetId="6" r:id="rId6"/>
    <sheet name="Instrucciones" sheetId="7" r:id="rId7"/>
  </sheets>
  <definedNames>
    <definedName name="_xlnm._FilterDatabase" localSheetId="4" hidden="1">'AI Overlay'!$A$1:$E$13</definedName>
    <definedName name="_xlnm._FilterDatabase" localSheetId="0" hidden="1">Assessment!$A$1:$T$13</definedName>
    <definedName name="_xlnm._FilterDatabase" localSheetId="2" hidden="1">Heatmap!$A$1:$H$13</definedName>
    <definedName name="_xlnm._FilterDatabase" localSheetId="3" hidden="1">Roadmap!$A$1:$J$13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D4" i="2"/>
  <c r="C4" i="2"/>
  <c r="B4" i="2"/>
  <c r="D3" i="2"/>
  <c r="C3" i="2"/>
  <c r="B3" i="2"/>
  <c r="D2" i="2"/>
  <c r="C2" i="2"/>
  <c r="B2" i="2"/>
  <c r="M13" i="1"/>
  <c r="M12" i="1"/>
  <c r="M11" i="1"/>
  <c r="M10" i="1"/>
  <c r="M9" i="1"/>
  <c r="M8" i="1"/>
  <c r="M7" i="1"/>
  <c r="M6" i="1"/>
  <c r="M5" i="1"/>
  <c r="M4" i="1"/>
  <c r="M3" i="1"/>
  <c r="M2" i="1"/>
  <c r="C5" i="2" l="1"/>
  <c r="D5" i="2"/>
  <c r="E3" i="2"/>
  <c r="F3" i="2" s="1"/>
  <c r="G3" i="2" s="1"/>
  <c r="E4" i="2"/>
  <c r="F4" i="2" s="1"/>
  <c r="G4" i="2" s="1"/>
  <c r="F2" i="3"/>
  <c r="O2" i="1"/>
  <c r="N2" i="1"/>
  <c r="F3" i="3"/>
  <c r="O3" i="1"/>
  <c r="N3" i="1"/>
  <c r="F4" i="3"/>
  <c r="O4" i="1"/>
  <c r="N4" i="1"/>
  <c r="F5" i="3"/>
  <c r="O5" i="1"/>
  <c r="N5" i="1"/>
  <c r="F6" i="3"/>
  <c r="O6" i="1"/>
  <c r="N6" i="1"/>
  <c r="F7" i="3"/>
  <c r="O7" i="1"/>
  <c r="N7" i="1"/>
  <c r="F8" i="3"/>
  <c r="O8" i="1"/>
  <c r="N8" i="1"/>
  <c r="F9" i="3"/>
  <c r="O9" i="1"/>
  <c r="N9" i="1"/>
  <c r="F10" i="3"/>
  <c r="O10" i="1"/>
  <c r="N10" i="1"/>
  <c r="F11" i="3"/>
  <c r="O11" i="1"/>
  <c r="N11" i="1"/>
  <c r="F12" i="3"/>
  <c r="O12" i="1"/>
  <c r="N12" i="1"/>
  <c r="F13" i="3"/>
  <c r="O13" i="1"/>
  <c r="N13" i="1"/>
  <c r="B5" i="2"/>
  <c r="E2" i="2"/>
  <c r="E5" i="2" l="1"/>
  <c r="F5" i="2" s="1"/>
  <c r="G5" i="2" s="1"/>
  <c r="F2" i="2"/>
  <c r="G2" i="2" s="1"/>
  <c r="C13" i="4"/>
  <c r="G13" i="4" s="1"/>
  <c r="G13" i="3"/>
  <c r="P13" i="1"/>
  <c r="C12" i="4"/>
  <c r="G12" i="4" s="1"/>
  <c r="G12" i="3"/>
  <c r="P12" i="1"/>
  <c r="C11" i="4"/>
  <c r="G11" i="4" s="1"/>
  <c r="G11" i="3"/>
  <c r="P11" i="1"/>
  <c r="C10" i="4"/>
  <c r="G10" i="4" s="1"/>
  <c r="G10" i="3"/>
  <c r="P10" i="1"/>
  <c r="C9" i="4"/>
  <c r="G9" i="4" s="1"/>
  <c r="G9" i="3"/>
  <c r="P9" i="1"/>
  <c r="C8" i="4"/>
  <c r="G8" i="4" s="1"/>
  <c r="G8" i="3"/>
  <c r="P8" i="1"/>
  <c r="C7" i="4"/>
  <c r="G7" i="4" s="1"/>
  <c r="G7" i="3"/>
  <c r="P7" i="1"/>
  <c r="C6" i="4"/>
  <c r="G6" i="4" s="1"/>
  <c r="G6" i="3"/>
  <c r="P6" i="1"/>
  <c r="C5" i="4"/>
  <c r="G5" i="4" s="1"/>
  <c r="G5" i="3"/>
  <c r="P5" i="1"/>
  <c r="C4" i="4"/>
  <c r="G4" i="4" s="1"/>
  <c r="G4" i="3"/>
  <c r="P4" i="1"/>
  <c r="C3" i="4"/>
  <c r="G3" i="4" s="1"/>
  <c r="G3" i="3"/>
  <c r="P3" i="1"/>
  <c r="C2" i="4"/>
  <c r="G2" i="4" s="1"/>
  <c r="G2" i="3"/>
  <c r="P2" i="1"/>
  <c r="D2" i="4" l="1"/>
  <c r="H2" i="3"/>
  <c r="D3" i="4"/>
  <c r="H3" i="3"/>
  <c r="D4" i="4"/>
  <c r="H4" i="3"/>
  <c r="D5" i="4"/>
  <c r="H5" i="3"/>
  <c r="D6" i="4"/>
  <c r="H6" i="3"/>
  <c r="D7" i="4"/>
  <c r="H7" i="3"/>
  <c r="D8" i="4"/>
  <c r="H8" i="3"/>
  <c r="D9" i="4"/>
  <c r="H9" i="3"/>
  <c r="D10" i="4"/>
  <c r="H10" i="3"/>
  <c r="D11" i="4"/>
  <c r="H11" i="3"/>
  <c r="D12" i="4"/>
  <c r="H12" i="3"/>
  <c r="D13" i="4"/>
  <c r="H13" i="3"/>
</calcChain>
</file>

<file path=xl/sharedStrings.xml><?xml version="1.0" encoding="utf-8"?>
<sst xmlns="http://schemas.openxmlformats.org/spreadsheetml/2006/main" count="396" uniqueCount="223">
  <si>
    <t>Capacidad</t>
  </si>
  <si>
    <t>Subcapacidad</t>
  </si>
  <si>
    <t>Objetivo de evaluación</t>
  </si>
  <si>
    <t>Nivel 1 - Inicial</t>
  </si>
  <si>
    <t>Nivel 2 - Estructurado</t>
  </si>
  <si>
    <t>Nivel 3 - Estandarizado</t>
  </si>
  <si>
    <t>Nivel 4 - Optimizado</t>
  </si>
  <si>
    <t>Nivel 5 - Avanzado/Referente</t>
  </si>
  <si>
    <t>Casos de uso AI asociados</t>
  </si>
  <si>
    <t>Score Procesos</t>
  </si>
  <si>
    <t>Score Tecnología</t>
  </si>
  <si>
    <t>Score Organización</t>
  </si>
  <si>
    <t>Score Medio</t>
  </si>
  <si>
    <t>Nivel resultante</t>
  </si>
  <si>
    <t>Gap vs objetivo</t>
  </si>
  <si>
    <t>Prioridad</t>
  </si>
  <si>
    <t>Preguntas clave</t>
  </si>
  <si>
    <t>Evidencias</t>
  </si>
  <si>
    <t>Iniciativa sugerida</t>
  </si>
  <si>
    <t>Comentarios / hallazgos</t>
  </si>
  <si>
    <t>Aseguramiento de riesgos</t>
  </si>
  <si>
    <t>1.1 Universo auditable y planificación basada en riesgos</t>
  </si>
  <si>
    <t>Evaluar si Auditoría Interna dispone de un universo auditable completo, actualizado y priorizado mediante criterios de riesgo, materialidad y criticidad para el negocio.</t>
  </si>
  <si>
    <t>Universo auditable incompleto o desactualizado, con planificación basada principalmente en ciclos históricos o peticiones puntuales.</t>
  </si>
  <si>
    <t>Universo auditable básico y plan anual definido, aunque con criterios de priorización parciales y actualización limitada durante el año.</t>
  </si>
  <si>
    <t>Universo auditable documentado, con evaluación periódica de riesgos, materialidad, cobertura y criterios homogéneos de priorización.</t>
  </si>
  <si>
    <t>Planificación integrada con ERM, compliance, controles internos, cambios del negocio y señales de riesgo, con revisión dinámica del plan.</t>
  </si>
  <si>
    <t>Planificación continua y predictiva, con IA para monitorizar cambios internos/externos, anticipar áreas de riesgo y recomendar ajustes al plan de auditoría.</t>
  </si>
  <si>
    <t>Monitorización predictiva del cumplimiento; Gestión de riesgos y cumplimiento regulatorio impulsados por IA; Seguimiento de políticas globales</t>
  </si>
  <si>
    <t>¿Existe un universo auditable formal y actualizado?
¿Se prioriza el plan por riesgo y materialidad?
¿Se revisa el plan ante cambios relevantes?
¿Se integran señales de ERM, compliance y negocio?</t>
  </si>
  <si>
    <t>Universo auditable; risk assessment; plan anual de auditoría; matriz de priorización; actas de comité; cambios de plan.</t>
  </si>
  <si>
    <t>Actualizar el universo auditable y definir un modelo de planificación dinámica basado en riesgo, materialidad, cobertura y señales de cambio.</t>
  </si>
  <si>
    <t>1.2 Diseño y ejecución de auditorías y pruebas de control</t>
  </si>
  <si>
    <t>Evaluar si las auditorías se diseñan y ejecutan con una metodología consistente, basada en riesgos, controles clave, alcance claro y evidencia suficiente.</t>
  </si>
  <si>
    <t>Programas de auditoría ad hoc, con alcance variable, pruebas manuales y dependencia elevada del criterio individual del auditor.</t>
  </si>
  <si>
    <t>Metodología básica de auditoría y testing, con plantillas parciales y cobertura desigual por proceso o área.</t>
  </si>
  <si>
    <t>Metodología estándar con objetivos, riesgos, controles, pruebas, muestreo, evidencias y revisión documentada.</t>
  </si>
  <si>
    <t>Ejecución integrada con analytics, controles automatizados, priorización por riesgo y trazabilidad completa de pruebas y hallazgos.</t>
  </si>
  <si>
    <t>Auditoría basada en IA con pruebas continuas, selección inteligente de muestras, análisis de poblaciones completas y recomendaciones sobre foco de pruebas.</t>
  </si>
  <si>
    <t>Exámenes e inspecciones regulatorias asistidos por IA; Gestión de riesgos y cumplimiento regulatorio impulsados por IA; Conciliación de saldos contables a nivel de transacción con facturas, pedidos de compra y extractos bancarios</t>
  </si>
  <si>
    <t>¿Existe metodología estándar de auditoría?
¿Se vinculan riesgos, controles y pruebas?
¿Se analiza población completa o muestras?
¿La evidencia es trazable y revisable?</t>
  </si>
  <si>
    <t>Programas de auditoría; matrices riesgo-control; papeles de trabajo; evidencias de testing; revisiones de calidad; muestras.</t>
  </si>
  <si>
    <t>Estandarizar metodología de auditoría y pruebas con matrices riesgo-control, evidencias, analítica de datos y trazabilidad de ejecución.</t>
  </si>
  <si>
    <t>1.3 Calidad, trazabilidad y reporting de assurance</t>
  </si>
  <si>
    <t>Evaluar si los trabajos de aseguramiento generan conclusiones claras, trazables y útiles para los órganos de gobierno, con controles de calidad adecuados.</t>
  </si>
  <si>
    <t>Informes con variabilidad en estructura, calidad y trazabilidad, centrados en hallazgos descriptivos y con revisiones manuales limitadas.</t>
  </si>
  <si>
    <t>Plantillas y revisiones básicas, aunque con criterios de rating, impacto y causa-raíz no plenamente homogéneos.</t>
  </si>
  <si>
    <t>Reporting estándar con ratings, impacto, causa-raíz, recomendaciones, evidencias y revisión formal de calidad.</t>
  </si>
  <si>
    <t>Reporting integrado con dashboards, tendencias de riesgos, severidad, owners, evolución de hallazgos y mensajes ejecutivos.</t>
  </si>
  <si>
    <t>Generación asistida de informes de aseguramiento con IA, síntesis de evidencias, detección de inconsistencias y narrativa ejecutiva orientada a decisiones.</t>
  </si>
  <si>
    <t>Generación de informes de investigación / KYC; Inteligencia más avanzada; Análisis accesibles para toda la organización</t>
  </si>
  <si>
    <t>¿Los informes tienen estructura y ratings homogéneos?
¿Se documenta causa-raíz e impacto?
¿Existe trazabilidad entre evidencia y conclusión?
¿Se revisa la calidad de los trabajos?</t>
  </si>
  <si>
    <t>Informes de auditoría; ratings; papeles de trabajo; evidencias; revisiones de calidad; dashboards de assurance.</t>
  </si>
  <si>
    <t>Rediseñar los informes de aseguramiento con estructura común, calificaciones, causa-raíz, trazabilidad de evidencia y cuadro de mando ejecutivo.</t>
  </si>
  <si>
    <t>1.4 Seguimiento de hallazgos y remediación</t>
  </si>
  <si>
    <t>Evaluar si los hallazgos se gestionan hasta su cierre efectivo, con planes de acción, owners, vencimientos, validación y escalado.</t>
  </si>
  <si>
    <t>Seguimiento manual de hallazgos, con baja trazabilidad de acciones, owners y validación de cierre.</t>
  </si>
  <si>
    <t>Tracker básico de acciones, aunque con retrasos, evidencias variables y escalado limitado.</t>
  </si>
  <si>
    <t>Proceso estándar de seguimiento con owners, fechas, estado, evidencias de cierre y reporting periódico.</t>
  </si>
  <si>
    <t>Gestión integrada de remediación con priorización por riesgo, alertas, escalados, validación de efectividad y reporting a comités.</t>
  </si>
  <si>
    <t>IA prioriza acciones, anticipa retrasos, recomienda escalados y detecta patrones recurrentes de control para prevenir reincidencias.</t>
  </si>
  <si>
    <t>Monitorización predictiva del cumplimiento; Recomendaciones proactivas para la resolución de incidencias; Gestión de riesgos y cumplimiento regulatorio impulsados por IA</t>
  </si>
  <si>
    <t>¿Cada hallazgo tiene owner, acción y fecha?
¿Se valida la efectividad del cierre?
¿Se escalan retrasos críticos?
¿Se analizan recurrencias?</t>
  </si>
  <si>
    <t>Tracker de hallazgos; planes de acción; evidencias de cierre; actas de comité; reportes de aging; validaciones.</t>
  </si>
  <si>
    <t>Implantar modelo de remediación con flujo de trabajo, alertas, evidencias, validación de efectividad, escalado y análisis de recurrencias.</t>
  </si>
  <si>
    <t>Asesoramiento de riesgos</t>
  </si>
  <si>
    <t>2.1 Modelo de advisory y rol de Auditoría Interna</t>
  </si>
  <si>
    <t>Evaluar si Auditoría Interna actúa como asesor independiente en materia de gobierno, riesgos y controles, manteniendo claridad de rol y salvaguardas de independencia.</t>
  </si>
  <si>
    <t>Rol de advisory informal o reactivo, con baja claridad sobre alcance, límites de independencia y criterios de participación.</t>
  </si>
  <si>
    <t>Participación puntual en iniciativas relevantes, con criterios básicos de independencia y dependencia de relaciones personales.</t>
  </si>
  <si>
    <t>Modelo de advisory definido, con criterios de elegibilidad, independencia, alcance, entregables, gobierno y reporting.</t>
  </si>
  <si>
    <t>Advisory integrado en iniciativas estratégicas y de transformación, con priorización por riesgo, coordinación con segunda línea y medición de valor aportado.</t>
  </si>
  <si>
    <t>Modelo proactivo de asesoramiento basado en señales de riesgo e IA, que recomienda dónde asesorar y aporta conclusiones preventivas sin comprometer la independencia.</t>
  </si>
  <si>
    <t>Gestión de riesgos y cumplimiento regulatorio impulsados por IA; Inteligencia más avanzada; Análisis accesibles para toda la organización</t>
  </si>
  <si>
    <t>¿Está definido el rol de advisory?
¿Existen salvaguardas de independencia?
¿Se priorizan iniciativas por riesgo?
¿Se mide el valor aportado?</t>
  </si>
  <si>
    <t>Modelo de advisory; criterios de independencia; portfolio de advisory; actas de steering; feedback de stakeholders; entregables.</t>
  </si>
  <si>
    <t>Definir modelo de asesoramiento de Auditoría Interna con criterios de independencia, priorización por riesgo, entregables y métricas de valor.</t>
  </si>
  <si>
    <t>2.2 Asesoramiento en transformación, procesos y controles</t>
  </si>
  <si>
    <t>Evaluar la contribución de Auditoría Interna en el diseño preventivo de controles, riesgos y gobierno en proyectos de transformación, procesos y tecnología.</t>
  </si>
  <si>
    <t>Auditoría participa tarde o de forma limitada en transformaciones, revisando controles cuando el diseño ya está cerrado.</t>
  </si>
  <si>
    <t>Participación en proyectos relevantes, aunque sin metodología común para asesoramiento preventivo sobre riesgos y controles.</t>
  </si>
  <si>
    <t>Metodología de advisory en transformación con revisión de riesgos, controles, segregación de funciones, datos y gobierno desde fases tempranas.</t>
  </si>
  <si>
    <t>Advisory integrado en programas críticos, con checkpoints, criterios de control by design, métricas de riesgo y coordinación con PMO/segunda línea.</t>
  </si>
  <si>
    <t>IA apoya la identificación temprana de riesgos de transformación, brechas de control, cambios regulatorios y recomendaciones de diseño preventivo.</t>
  </si>
  <si>
    <t>Asistente de código para la transformación digital; Gestión de vulnerabilidades basada en IA; Interpretación de normas y regulación financiera</t>
  </si>
  <si>
    <t>¿Auditoría participa en proyectos desde diseño?
¿Se revisan riesgos y controles by design?
¿Hay coordinación con PMO y segunda línea?
¿Se documentan recomendaciones preventivas?</t>
  </si>
  <si>
    <t>Comités de proyecto; risk/control design reviews; matrices SoD; recomendaciones; checkpoints; documentación de transformación.</t>
  </si>
  <si>
    <t>Crear metodología de asesoramiento en transformación con control desde el diseño, puntos de control, criterios de riesgo y coordinación con segunda línea y PMO.</t>
  </si>
  <si>
    <t>2.3 Challenge independiente y soporte a decisiones de riesgo</t>
  </si>
  <si>
    <t>Evaluar si Auditoría Interna proporciona challenge objetivo sobre decisiones, supuestos y exposiciones de riesgo relevantes para la organización.</t>
  </si>
  <si>
    <t>Challenge limitado y principalmente reactivo, con baja participación en decisiones relevantes de riesgo o gobierno.</t>
  </si>
  <si>
    <t>Auditoría aporta comentarios en foros seleccionados, aunque con análisis poco estructurado y dependencia del criterio individual.</t>
  </si>
  <si>
    <t>Proceso definido para aportar challenge independiente con análisis de riesgos, evidencia, criterios y recomendaciones documentadas.</t>
  </si>
  <si>
    <t>Challenge integrado en decisiones críticas, con análisis de escenarios, impactos, apetito de riesgo y seguimiento de recomendaciones.</t>
  </si>
  <si>
    <t>Apoyo a la decisión basado en IA, con búsqueda de evidencias, síntesis multifuente, escenarios de riesgo y propuestas de contraste crítico para los comités.</t>
  </si>
  <si>
    <t>Inteligencia más avanzada; Búsqueda y acceso a datos en toda la compañía; Seguimiento de políticas globales</t>
  </si>
  <si>
    <t>¿Auditoría participa en foros de decisión clave?
¿El challenge se basa en evidencia?
¿Se conectan recomendaciones con apetito de riesgo?
¿Se hace seguimiento?</t>
  </si>
  <si>
    <t>Actas de comité; recomendaciones de Auditoría; análisis de riesgos; escenarios; documentación de decisiones; seguimiento.</t>
  </si>
  <si>
    <t>Formalizar modelo de contraste independiente con criterios, evidencias, escenarios, recomendaciones y seguimiento de decisiones de riesgo.</t>
  </si>
  <si>
    <t>2.4 Gestión de conocimiento, capacidades y cultura de control</t>
  </si>
  <si>
    <t>Evaluar si Auditoría Interna desarrolla conocimiento, capacidades y cultura de control en la organización mediante guías, formación y buenas prácticas.</t>
  </si>
  <si>
    <t>Conocimiento disperso y comunicación limitada, con baja sistematización de buenas prácticas, lecciones aprendidas o formación en controles.</t>
  </si>
  <si>
    <t>Materiales y sesiones puntuales, aunque sin plan estructurado ni medición de adopción o impacto.</t>
  </si>
  <si>
    <t>Programa de conocimiento con guías, criterios de control, formación, repositorio y comunicación de lecciones aprendidas.</t>
  </si>
  <si>
    <t>Gestión integrada de conocimiento con comunidades, analytics de hallazgos, formación por riesgo y medición de adopción.</t>
  </si>
  <si>
    <t>Asistente de conocimiento con IA que permite consultar políticas, controles, hallazgos, benchmarks y recomendaciones contextualizadas para mejorar la cultura de control.</t>
  </si>
  <si>
    <t>Acceso y extracción documental impulsados por IA; Búsqueda y acceso a datos en toda la compañía; Acceso a datos para toda la organización</t>
  </si>
  <si>
    <t>¿Existen guías y repositorio de buenas prácticas?
¿Se forman áreas de negocio en controles?
¿Se comunican lecciones aprendidas?
¿Se mide adopción?</t>
  </si>
  <si>
    <t>Repositorio; guías de control; planes de formación; comunicaciones; encuestas; analytics de hallazgos; lecciones aprendidas.</t>
  </si>
  <si>
    <t>Implantar repositorio y programa de cultura de control con guías, formación por riesgo, lecciones aprendidas y asistente de conocimiento.</t>
  </si>
  <si>
    <t>Detección de riesgos y previsión</t>
  </si>
  <si>
    <t>3.1 Monitorización continua de riesgos y controles</t>
  </si>
  <si>
    <t>Evaluar si la organización dispone de mecanismos continuos para monitorizar riesgos, controles clave, indicadores y señales de alerta temprana.</t>
  </si>
  <si>
    <t>Monitorización puntual y manual, centrada en revisiones periódicas y con baja capacidad de alerta temprana.</t>
  </si>
  <si>
    <t>Indicadores básicos de riesgo y control, con actualización manual y cobertura limitada de procesos críticos.</t>
  </si>
  <si>
    <t>KRIs/KCIs definidos, con reporting periódico, owners, umbrales y seguimiento de excepciones.</t>
  </si>
  <si>
    <t>Monitorización integrada con datos transaccionales, controles automatizados, workflows de excepción y reporting por riesgo.</t>
  </si>
  <si>
    <t>Auditoría continua basada en IA, con detección de desviaciones, priorización dinámica y alertas tempranas sobre riesgos emergentes.</t>
  </si>
  <si>
    <t>Monitorización predictiva del cumplimiento; Gestión de riesgos y cumplimiento regulatorio impulsados por IA; Cumplimiento regulatorio automatizado</t>
  </si>
  <si>
    <t>¿Existen KRIs/KCIs definidos?
¿Hay umbrales y owners?
¿Se monitorizan datos transaccionales?
¿Se generan alertas tempranas?</t>
  </si>
  <si>
    <t>Mapa KRIs/KCIs; dashboards; umbrales; logs de excepción; controles automatizados; workflows; actas de seguimiento.</t>
  </si>
  <si>
    <t>Diseñar modelo de auditoría continua con KRIs y KCIs, datos transaccionales, alertas, flujos de trabajo y priorización por riesgo.</t>
  </si>
  <si>
    <t>3.2 Detección de fraude, anomalías y operaciones sospechosas</t>
  </si>
  <si>
    <t>Evaluar la capacidad para detectar patrones anómalos, fraude potencial, entradas sospechosas y comportamientos inusuales en datos financieros u operativos.</t>
  </si>
  <si>
    <t>Detección reactiva y principalmente manual, basada en denuncias, revisiones puntuales o controles ex post.</t>
  </si>
  <si>
    <t>Reglas básicas de detección para ciertos riesgos, con análisis manual de excepciones y alta tasa de falsos positivos.</t>
  </si>
  <si>
    <t>Modelo estructurado de detección con reglas, indicadores, investigación de excepciones y documentación de resultados.</t>
  </si>
  <si>
    <t>Analítica avanzada y monitorización recurrente sobre poblaciones completas, priorizando casos por materialidad, riesgo e impacto.</t>
  </si>
  <si>
    <t>Modelos IA de fraude/anomalías en tiempo real, con puntuación, explicación, aprendizaje continuo y flujo de trabajo de investigación.</t>
  </si>
  <si>
    <t>Monitorización en tiempo real de asientos potencialmente sospechosos o fraudulentos; Detección proactiva de actividades fraudulentas; Identificación de asientos inusuales registrados durante el periodo de cierre</t>
  </si>
  <si>
    <t>¿Se detectan anomalías en datos financieros?
¿Se monitorizan operaciones sospechosas?
¿Existen reglas/modelos de fraude?
¿Se documenta investigación y resolución?</t>
  </si>
  <si>
    <t>Alertas de fraude; reglas de detección; modelos analíticos; casos investigados; logs de excepciones; informes de investigación.</t>
  </si>
  <si>
    <t>Implantar monitor de fraude y anomalías con reglas, modelos predictivos, puntuación de riesgo, explicación y flujo de investigación.</t>
  </si>
  <si>
    <t>3.3 Modelos predictivos de riesgo y escenarios de exposición</t>
  </si>
  <si>
    <t>Evaluar si Auditoría Interna utiliza modelos predictivos y escenarios para anticipar riesgos, cambios de exposición y áreas de posible deterioro del control.</t>
  </si>
  <si>
    <t>Predicción de riesgos inexistente o basada en juicio experto no sistemático, con baja capacidad de anticipación.</t>
  </si>
  <si>
    <t>Análisis prospectivos puntuales para riesgos relevantes, con supuestos manuales y evidencia limitada.</t>
  </si>
  <si>
    <t>Metodología de escenarios y predicción básica con variables de riesgo, tendencias, supuestos y revisión periódica.</t>
  </si>
  <si>
    <t>Modelos predictivos recurrentes conectados con datos internos/externos, apetito de riesgo, KRIs y priorización de auditoría.</t>
  </si>
  <si>
    <t>IA anticipa cambios de exposición, simula escenarios de riesgo y recomienda acciones preventivas, auditorías o revisiones focalizadas.</t>
  </si>
  <si>
    <t>Generación de datos sintéticos; Monitorización predictiva del cumplimiento; Gestión de vulnerabilidades basada en IA</t>
  </si>
  <si>
    <t>¿Se anticipan cambios de exposición?
¿Se usan escenarios o modelos predictivos?
¿Se conectan predicciones con el plan de auditoría?
¿Se revisa precisión de modelos?</t>
  </si>
  <si>
    <t>Modelos predictivos; escenarios; supuestos; backtesting; KRIs; cambios de exposición; decisiones de cobertura.</t>
  </si>
  <si>
    <t>Desarrollar modelos predictivos de riesgo con escenarios, señales internas/externas, priorización y conexión con el plan de auditoría.</t>
  </si>
  <si>
    <t>3.4 Investigación, respuesta y aprendizaje sobre incidentes de riesgo</t>
  </si>
  <si>
    <t>Evaluar si la organización investiga incidentes y señales de riesgo de forma estructurada, generando acciones, aprendizaje y mejora del entorno de control.</t>
  </si>
  <si>
    <t>Investigaciones reactivas, con trazabilidad limitada, criterios variables y poca conexión con mejora de controles.</t>
  </si>
  <si>
    <t>Proceso básico para incidentes relevantes, aunque con documentación, análisis causa-raíz y seguimiento no homogéneos.</t>
  </si>
  <si>
    <t>Proceso definido de investigación con clasificación, evidencias, causa-raíz, acciones, owners y cierre documentado.</t>
  </si>
  <si>
    <t>Gestión integrada de incidentes con workflow, priorización por riesgo, análisis de tendencias, remediación y reporting a comités.</t>
  </si>
  <si>
    <t>IA apoya la investigación con análisis multifuente, agrupación de incidentes, recomendaciones de respuesta y aprendizaje preventivo sobre causas recurrentes.</t>
  </si>
  <si>
    <t>Resolución autónoma de garantías; Inspección visual de partículas basada en IA; Recomendaciones proactivas para la resolución de incidencias</t>
  </si>
  <si>
    <t>¿Existe proceso formal de investigación?
¿Se documentan evidencias y causa-raíz?
¿Se conectan incidentes con acciones de control?
¿Se analizan patrones recurrentes?</t>
  </si>
  <si>
    <t>Registros de incidentes; informes de investigación; evidencias; causa-raíz; planes de remediación; reportes de tendencia.</t>
  </si>
  <si>
    <t>Formalizar proceso de investigación y respuesta con taxonomía de incidentes, flujo de trabajo, causa-raíz, acciones y aprendizaje preventivo.</t>
  </si>
  <si>
    <t>Score global dominio</t>
  </si>
  <si>
    <t>Procesos</t>
  </si>
  <si>
    <t>Tecnología</t>
  </si>
  <si>
    <t>Organización</t>
  </si>
  <si>
    <t>Score medio</t>
  </si>
  <si>
    <t>Gap</t>
  </si>
  <si>
    <t>Casos AI asociados</t>
  </si>
  <si>
    <t>Oleada</t>
  </si>
  <si>
    <t>Owner</t>
  </si>
  <si>
    <t>Estado</t>
  </si>
  <si>
    <t>Comentarios</t>
  </si>
  <si>
    <t>No iniciado</t>
  </si>
  <si>
    <t>Aplicación en nivel avanzado</t>
  </si>
  <si>
    <t>Fuente</t>
  </si>
  <si>
    <t>F3M_AI_Mapping_Consolidado_v1.xlsx</t>
  </si>
  <si>
    <t>GUÍAS DE SCORING F3M</t>
  </si>
  <si>
    <t>PROCESOS</t>
  </si>
  <si>
    <t>Proceso inexistente, manual o ad hoc.</t>
  </si>
  <si>
    <t>Proceso parcial, definido con variabilidad y dependencias manuales.</t>
  </si>
  <si>
    <t>Proceso documentado, homogéneo y repetible.</t>
  </si>
  <si>
    <t>Proceso medido, eficiente, con controles y mejora continua.</t>
  </si>
  <si>
    <t>Nivel 5 - Avanzado</t>
  </si>
  <si>
    <t>Proceso integrado end-to-end, orientado a decisión y habilitado por automatización/AI cuando aplique.</t>
  </si>
  <si>
    <t>TECNOLOGÍA</t>
  </si>
  <si>
    <t>Excel/manual, sin integración.</t>
  </si>
  <si>
    <t>Herramientas parciales o locales, con baja integración.</t>
  </si>
  <si>
    <t>Herramienta corporativa y reglas definidas.</t>
  </si>
  <si>
    <t>Integración end-to-end, automatización y controles tecnológicos.</t>
  </si>
  <si>
    <t>Analítica avanzada, AI/GenAI, detección predictiva, autoservicio o workflow inteligente.</t>
  </si>
  <si>
    <t>ORGANIZACIÓN</t>
  </si>
  <si>
    <t>Roles poco claros y alta dependencia de personas.</t>
  </si>
  <si>
    <t>Roles parcialmente definidos y coordinación manual.</t>
  </si>
  <si>
    <t>Roles, ownership y accountability claros.</t>
  </si>
  <si>
    <t>Organización alineada con procesos, KPIs y mejora continua.</t>
  </si>
  <si>
    <t>Equipos orientados a control inteligente, independencia, colaboración, asesoramiento y generación de valor.</t>
  </si>
  <si>
    <t>REGLAS DE ORO</t>
  </si>
  <si>
    <t>1</t>
  </si>
  <si>
    <t>Puntuar el estado actual, no el objetivo.</t>
  </si>
  <si>
    <t>2</t>
  </si>
  <si>
    <t>No mezclar palancas: procesos, tecnología y organización se puntúan por separado.</t>
  </si>
  <si>
    <t>3</t>
  </si>
  <si>
    <t>Sustentar cada score con evidencias.</t>
  </si>
  <si>
    <t>4</t>
  </si>
  <si>
    <t>No sobrevalorar la tecnología si el proceso o la adopción no están maduros.</t>
  </si>
  <si>
    <t>F3M - Auditoría Interna | Assessment-ready con AI</t>
  </si>
  <si>
    <t>Uso del fichero</t>
  </si>
  <si>
    <t>1. En Assessment, puntuar cada subcapacidad en las tres palancas: Procesos, Tecnología y Organización.
2. Utilizar valores enteros de 1 a 5, donde 1 = Inicial y 5 = Avanzado/Referente.
3. El Score Medio, Nivel resultante, Gap y Prioridad se calculan automáticamente.
4. Objetivo de madurez utilizado para el gap: Nivel 4 - Optimizado.
5. Resumen consolida resultados por capacidad y gráfico ejecutivo.
6. Heatmap facilita la lectura visual por subcapacidad y palanca.
7. Roadmap convierte gaps en iniciativas sugeridas y oleadas.</t>
  </si>
  <si>
    <t>Dominio</t>
  </si>
  <si>
    <t>Auditoría Interna: Aseguramiento de riesgos, Asesoramiento de riesgos y Detección de riesgos y previsión.</t>
  </si>
  <si>
    <t>Escala F3M</t>
  </si>
  <si>
    <t>1 - Inicial: modelo básico, reactivo, heterogéneo y poco formalizado.
2 - Estructurado: prácticas definidas, con consistencia parcial y dependencias manuales.
3 - Estandarizado: modelo homogéneo, documentado, consistente y controlado.
4 - Optimizado: modelo integrado, medido, con mejora continua y foco en eficiencia/control.
5 - Avanzado/Referente: modelo maduro, preventivo, predictivo, AI-enabled y orientado a generación de valor.</t>
  </si>
  <si>
    <t>AI Overlay</t>
  </si>
  <si>
    <t>Los casos de uso AI se han mapeado desde F3M_AI_Mapping_Consolidado_v1.xlsx. En capacidades con menor cobertura directa se han utilizado casos por analogía funcional para construir el nivel avanzado y el roadmap.</t>
  </si>
  <si>
    <t>Buenas prácticas</t>
  </si>
  <si>
    <t>Evaluar situación actual, sustentar el score con evidencias, separar las tres palancas, validar resultados con los responsables del dominio y no sobrevalorar tecnología sin proceso/adopción madura.</t>
  </si>
  <si>
    <t xml:space="preserve">Monitorización predictiva del cumplimiento; Vigilancia continua de riesgo y cumplimiento; Seguimiento de políticas y regulación global</t>
  </si>
  <si>
    <t xml:space="preserve">Apoyo a exámenes e inspecciones regulatorias; Vigilancia continua de riesgo y cumplimiento; Conciliación a nivel de transacción; Generación de casos de prueba de control</t>
  </si>
  <si>
    <t xml:space="preserve">Informes de investigación y KYC; Síntesis multifuente para informes de análisis; Consulta del dato en lenguaje natural; Borrador de informe de auditoría</t>
  </si>
  <si>
    <t xml:space="preserve">Monitorización predictiva del cumplimiento; Recomendaciones de resolución de incidencias; Vigilancia continua de riesgo y cumplimiento</t>
  </si>
  <si>
    <t xml:space="preserve">Vigilancia continua de riesgo y cumplimiento; Síntesis multifuente para informes de análisis; Consulta del dato en lenguaje natural</t>
  </si>
  <si>
    <t xml:space="preserve">Asistente de código para la transformación; Gestión de vulnerabilidades con IA; Interpretación de normativa financiera</t>
  </si>
  <si>
    <t xml:space="preserve">Síntesis multifuente para informes de análisis; Consulta del dato en lenguaje natural; Seguimiento de políticas y regulación global</t>
  </si>
  <si>
    <t xml:space="preserve">Acceso y extracción documental; Consulta del dato en lenguaje natural</t>
  </si>
  <si>
    <t xml:space="preserve">Monitorización predictiva del cumplimiento; Vigilancia continua de riesgo y cumplimiento; Cumplimiento regulatorio automatizado</t>
  </si>
  <si>
    <t xml:space="preserve">Vigilancia en tiempo real de asientos sospechosos; Detección proactiva de fraude; Detección de asientos inusuales en el cierre</t>
  </si>
  <si>
    <t xml:space="preserve">Generación de datos sintéticos; Monitorización predictiva del cumplimiento; Gestión de vulnerabilidades con IA</t>
  </si>
  <si>
    <t xml:space="preserve">Recomendaciones de resolución de incidencias; Detección proactiva de fraude</t>
  </si>
  <si>
    <t xml:space="preserve">Resolución autónoma de garantías; Recomendaciones de resolución de incidencias; Detección proactiva de fraude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</si>
</sst>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492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Score medio por capacidad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Resumen!$E$1</c:f>
              <c:strCache>
                <c:ptCount val="1"/>
                <c:pt idx="0">
                  <c:v>Score Medio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Resumen!$A$2:$A$4</c:f>
              <c:strCache>
                <c:ptCount val="3"/>
                <c:pt idx="0">
                  <c:v>Aseguramiento de riesgos</c:v>
                </c:pt>
                <c:pt idx="1">
                  <c:v>Asesoramiento de riesgos</c:v>
                </c:pt>
                <c:pt idx="2">
                  <c:v>Detección de riesgos y previsión</c:v>
                </c:pt>
              </c:strCache>
            </c:strRef>
          </c:cat>
          <c:val>
            <c:numRef>
              <c:f>Resumen!$E$2:$E$4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5-41DF-9A11-297A60654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Capacidad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48" customWidth="1"/>
    <col min="3" max="7" width="56" customWidth="1"/>
    <col min="8" max="8" width="60" customWidth="1"/>
    <col min="9" max="9" width="55" customWidth="1"/>
    <col min="10" max="11" width="14" customWidth="1"/>
    <col min="12" max="12" width="16" customWidth="1"/>
    <col min="13" max="13" width="13" customWidth="1"/>
    <col min="14" max="14" width="22" customWidth="1"/>
    <col min="15" max="16" width="14" customWidth="1"/>
    <col min="17" max="17" width="45" customWidth="1"/>
    <col min="18" max="18" width="48" customWidth="1"/>
    <col min="19" max="19" width="60" customWidth="1"/>
    <col min="20" max="20" width="35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4.9" customHeight="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210</v>
      </c>
      <c r="J2" s="2"/>
      <c r="K2" s="2"/>
      <c r="L2" s="2"/>
      <c r="M2" s="2" t="str">
        <f t="shared" ref="M2:M13" si="0">IF(COUNT(J2:L2)=0,"",ROUND(AVERAGE(J2:L2),0))</f>
        <v/>
      </c>
      <c r="N2" s="2" t="str">
        <f t="shared" ref="N2:N13" si="1">IF(M2="","",CHOOSE(M2,"1 - Inicial","2 - Estructurado","3 - Estandarizado","4 - Optimizado","5 - Avanzado/Referente"))</f>
        <v/>
      </c>
      <c r="O2" s="2" t="str">
        <f t="shared" ref="O2:O13" si="2">IF(M2="","",MAX(0,4-M2))</f>
        <v/>
      </c>
      <c r="P2" s="2" t="str">
        <f t="shared" ref="P2:P13" si="3">IF(O2="","",IF(O2&gt;=3,"Alta",IF(O2=2,"Media",IF(O2=1,"Media","Baja"))))</f>
        <v/>
      </c>
      <c r="Q2" s="2" t="s">
        <v>29</v>
      </c>
      <c r="R2" s="2" t="s">
        <v>30</v>
      </c>
      <c r="S2" s="2" t="s">
        <v>31</v>
      </c>
      <c r="T2" s="2"/>
    </row>
    <row r="3" spans="1:20" ht="84.9" customHeight="1" x14ac:dyDescent="0.3">
      <c r="A3" s="2" t="s">
        <v>20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211</v>
      </c>
      <c r="J3" s="2"/>
      <c r="K3" s="2"/>
      <c r="L3" s="2"/>
      <c r="M3" s="2" t="str">
        <f t="shared" si="0"/>
        <v/>
      </c>
      <c r="N3" s="2" t="str">
        <f t="shared" si="1"/>
        <v/>
      </c>
      <c r="O3" s="2" t="str">
        <f t="shared" si="2"/>
        <v/>
      </c>
      <c r="P3" s="2" t="str">
        <f t="shared" si="3"/>
        <v/>
      </c>
      <c r="Q3" s="2" t="s">
        <v>40</v>
      </c>
      <c r="R3" s="2" t="s">
        <v>41</v>
      </c>
      <c r="S3" s="2" t="s">
        <v>42</v>
      </c>
      <c r="T3" s="2"/>
    </row>
    <row r="4" spans="1:20" ht="84.9" customHeight="1" x14ac:dyDescent="0.3">
      <c r="A4" s="2" t="s">
        <v>20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212</v>
      </c>
      <c r="J4" s="2"/>
      <c r="K4" s="2"/>
      <c r="L4" s="2"/>
      <c r="M4" s="2" t="str">
        <f t="shared" si="0"/>
        <v/>
      </c>
      <c r="N4" s="2" t="str">
        <f t="shared" si="1"/>
        <v/>
      </c>
      <c r="O4" s="2" t="str">
        <f t="shared" si="2"/>
        <v/>
      </c>
      <c r="P4" s="2" t="str">
        <f t="shared" si="3"/>
        <v/>
      </c>
      <c r="Q4" s="2" t="s">
        <v>51</v>
      </c>
      <c r="R4" s="2" t="s">
        <v>52</v>
      </c>
      <c r="S4" s="2" t="s">
        <v>53</v>
      </c>
      <c r="T4" s="2"/>
    </row>
    <row r="5" spans="1:20" ht="84.9" customHeight="1" x14ac:dyDescent="0.3">
      <c r="A5" s="2" t="s">
        <v>20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213</v>
      </c>
      <c r="J5" s="2"/>
      <c r="K5" s="2"/>
      <c r="L5" s="2"/>
      <c r="M5" s="2" t="str">
        <f t="shared" si="0"/>
        <v/>
      </c>
      <c r="N5" s="2" t="str">
        <f t="shared" si="1"/>
        <v/>
      </c>
      <c r="O5" s="2" t="str">
        <f t="shared" si="2"/>
        <v/>
      </c>
      <c r="P5" s="2" t="str">
        <f t="shared" si="3"/>
        <v/>
      </c>
      <c r="Q5" s="2" t="s">
        <v>62</v>
      </c>
      <c r="R5" s="2" t="s">
        <v>63</v>
      </c>
      <c r="S5" s="2" t="s">
        <v>64</v>
      </c>
      <c r="T5" s="2"/>
    </row>
    <row r="6" spans="1:20" ht="84.9" customHeight="1" x14ac:dyDescent="0.3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214</v>
      </c>
      <c r="J6" s="2"/>
      <c r="K6" s="2"/>
      <c r="L6" s="2"/>
      <c r="M6" s="2" t="str">
        <f t="shared" si="0"/>
        <v/>
      </c>
      <c r="N6" s="2" t="str">
        <f t="shared" si="1"/>
        <v/>
      </c>
      <c r="O6" s="2" t="str">
        <f t="shared" si="2"/>
        <v/>
      </c>
      <c r="P6" s="2" t="str">
        <f t="shared" si="3"/>
        <v/>
      </c>
      <c r="Q6" s="2" t="s">
        <v>74</v>
      </c>
      <c r="R6" s="2" t="s">
        <v>75</v>
      </c>
      <c r="S6" s="2" t="s">
        <v>76</v>
      </c>
      <c r="T6" s="2"/>
    </row>
    <row r="7" spans="1:20" ht="84.9" customHeight="1" x14ac:dyDescent="0.3">
      <c r="A7" s="2" t="s">
        <v>65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215</v>
      </c>
      <c r="J7" s="2"/>
      <c r="K7" s="2"/>
      <c r="L7" s="2"/>
      <c r="M7" s="2" t="str">
        <f t="shared" si="0"/>
        <v/>
      </c>
      <c r="N7" s="2" t="str">
        <f t="shared" si="1"/>
        <v/>
      </c>
      <c r="O7" s="2" t="str">
        <f t="shared" si="2"/>
        <v/>
      </c>
      <c r="P7" s="2" t="str">
        <f t="shared" si="3"/>
        <v/>
      </c>
      <c r="Q7" s="2" t="s">
        <v>85</v>
      </c>
      <c r="R7" s="2" t="s">
        <v>86</v>
      </c>
      <c r="S7" s="2" t="s">
        <v>87</v>
      </c>
      <c r="T7" s="2"/>
    </row>
    <row r="8" spans="1:20" ht="84.9" customHeight="1" x14ac:dyDescent="0.3">
      <c r="A8" s="2" t="s">
        <v>65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216</v>
      </c>
      <c r="J8" s="2"/>
      <c r="K8" s="2"/>
      <c r="L8" s="2"/>
      <c r="M8" s="2" t="str">
        <f t="shared" si="0"/>
        <v/>
      </c>
      <c r="N8" s="2" t="str">
        <f t="shared" si="1"/>
        <v/>
      </c>
      <c r="O8" s="2" t="str">
        <f t="shared" si="2"/>
        <v/>
      </c>
      <c r="P8" s="2" t="str">
        <f t="shared" si="3"/>
        <v/>
      </c>
      <c r="Q8" s="2" t="s">
        <v>96</v>
      </c>
      <c r="R8" s="2" t="s">
        <v>97</v>
      </c>
      <c r="S8" s="2" t="s">
        <v>98</v>
      </c>
      <c r="T8" s="2"/>
    </row>
    <row r="9" spans="1:20" ht="84.9" customHeight="1" x14ac:dyDescent="0.3">
      <c r="A9" s="2" t="s">
        <v>65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217</v>
      </c>
      <c r="J9" s="2"/>
      <c r="K9" s="2"/>
      <c r="L9" s="2"/>
      <c r="M9" s="2" t="str">
        <f t="shared" si="0"/>
        <v/>
      </c>
      <c r="N9" s="2" t="str">
        <f t="shared" si="1"/>
        <v/>
      </c>
      <c r="O9" s="2" t="str">
        <f t="shared" si="2"/>
        <v/>
      </c>
      <c r="P9" s="2" t="str">
        <f t="shared" si="3"/>
        <v/>
      </c>
      <c r="Q9" s="2" t="s">
        <v>107</v>
      </c>
      <c r="R9" s="2" t="s">
        <v>108</v>
      </c>
      <c r="S9" s="2" t="s">
        <v>109</v>
      </c>
      <c r="T9" s="2"/>
    </row>
    <row r="10" spans="1:20" ht="84.9" customHeight="1" x14ac:dyDescent="0.3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218</v>
      </c>
      <c r="J10" s="2"/>
      <c r="K10" s="2"/>
      <c r="L10" s="2"/>
      <c r="M10" s="2" t="str">
        <f t="shared" si="0"/>
        <v/>
      </c>
      <c r="N10" s="2" t="str">
        <f t="shared" si="1"/>
        <v/>
      </c>
      <c r="O10" s="2" t="str">
        <f t="shared" si="2"/>
        <v/>
      </c>
      <c r="P10" s="2" t="str">
        <f t="shared" si="3"/>
        <v/>
      </c>
      <c r="Q10" s="2" t="s">
        <v>119</v>
      </c>
      <c r="R10" s="2" t="s">
        <v>120</v>
      </c>
      <c r="S10" s="2" t="s">
        <v>121</v>
      </c>
      <c r="T10" s="2"/>
    </row>
    <row r="11" spans="1:20" ht="84.9" customHeight="1" x14ac:dyDescent="0.3">
      <c r="A11" s="2" t="s">
        <v>110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219</v>
      </c>
      <c r="J11" s="2"/>
      <c r="K11" s="2"/>
      <c r="L11" s="2"/>
      <c r="M11" s="2" t="str">
        <f t="shared" si="0"/>
        <v/>
      </c>
      <c r="N11" s="2" t="str">
        <f t="shared" si="1"/>
        <v/>
      </c>
      <c r="O11" s="2" t="str">
        <f t="shared" si="2"/>
        <v/>
      </c>
      <c r="P11" s="2" t="str">
        <f t="shared" si="3"/>
        <v/>
      </c>
      <c r="Q11" s="2" t="s">
        <v>130</v>
      </c>
      <c r="R11" s="2" t="s">
        <v>131</v>
      </c>
      <c r="S11" s="2" t="s">
        <v>132</v>
      </c>
      <c r="T11" s="2"/>
    </row>
    <row r="12" spans="1:20" ht="84.9" customHeight="1" x14ac:dyDescent="0.3">
      <c r="A12" s="2" t="s">
        <v>110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220</v>
      </c>
      <c r="J12" s="2"/>
      <c r="K12" s="2"/>
      <c r="L12" s="2"/>
      <c r="M12" s="2" t="str">
        <f t="shared" si="0"/>
        <v/>
      </c>
      <c r="N12" s="2" t="str">
        <f t="shared" si="1"/>
        <v/>
      </c>
      <c r="O12" s="2" t="str">
        <f t="shared" si="2"/>
        <v/>
      </c>
      <c r="P12" s="2" t="str">
        <f t="shared" si="3"/>
        <v/>
      </c>
      <c r="Q12" s="2" t="s">
        <v>141</v>
      </c>
      <c r="R12" s="2" t="s">
        <v>142</v>
      </c>
      <c r="S12" s="2" t="s">
        <v>143</v>
      </c>
      <c r="T12" s="2"/>
    </row>
    <row r="13" spans="1:20" ht="84.9" customHeight="1" x14ac:dyDescent="0.3">
      <c r="A13" s="2" t="s">
        <v>110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221</v>
      </c>
      <c r="J13" s="2"/>
      <c r="K13" s="2"/>
      <c r="L13" s="2"/>
      <c r="M13" s="2" t="str">
        <f t="shared" si="0"/>
        <v/>
      </c>
      <c r="N13" s="2" t="str">
        <f t="shared" si="1"/>
        <v/>
      </c>
      <c r="O13" s="2" t="str">
        <f t="shared" si="2"/>
        <v/>
      </c>
      <c r="P13" s="2" t="str">
        <f t="shared" si="3"/>
        <v/>
      </c>
      <c r="Q13" s="2" t="s">
        <v>152</v>
      </c>
      <c r="R13" s="2" t="s">
        <v>153</v>
      </c>
      <c r="S13" s="2" t="s">
        <v>154</v>
      </c>
      <c r="T13" s="2"/>
    </row>
  </sheetData>
  <autoFilter ref="A1:T13" xr:uid="{00000000-0009-0000-0000-000000000000}"/>
  <conditionalFormatting sqref="J2:M13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O2:O13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dataValidations count="1">
    <dataValidation type="whole" allowBlank="1" errorTitle="Score no válido" error="Introduce un valor entero entre 1 y 5." sqref="J2:L13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7" width="18" customWidth="1"/>
  </cols>
  <sheetData>
    <row r="1" spans="1:7" ht="30" customHeight="1" x14ac:dyDescent="0.3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14</v>
      </c>
      <c r="G1" s="3" t="s">
        <v>15</v>
      </c>
    </row>
    <row r="2" spans="1:7" ht="30" customHeight="1" x14ac:dyDescent="0.3">
      <c r="A2" s="4" t="s">
        <v>20</v>
      </c>
      <c r="B2" s="4" t="str">
        <f>IFERROR(ROUND(AVERAGEIF(Assessment!$A:$A,A2,Assessment!$J:$J),0),"")</f>
        <v/>
      </c>
      <c r="C2" s="4" t="str">
        <f>IFERROR(ROUND(AVERAGEIF(Assessment!$A:$A,A2,Assessment!$K:$K),0),"")</f>
        <v/>
      </c>
      <c r="D2" s="4" t="str">
        <f>IFERROR(ROUND(AVERAGEIF(Assessment!$A:$A,A2,Assessment!$L:$L),0),"")</f>
        <v/>
      </c>
      <c r="E2" s="4" t="str">
        <f>IFERROR(ROUND(AVERAGE(B2:D2),0),"")</f>
        <v/>
      </c>
      <c r="F2" s="4" t="str">
        <f>IF(E2="","",MAX(0,4-E2))</f>
        <v/>
      </c>
      <c r="G2" s="4" t="str">
        <f>IF(F2="","",IF(F2&gt;=3,"Alta",IF(F2=2,"Media",IF(F2=1,"Media","Baja"))))</f>
        <v/>
      </c>
    </row>
    <row r="3" spans="1:7" ht="30" customHeight="1" x14ac:dyDescent="0.3">
      <c r="A3" s="4" t="s">
        <v>65</v>
      </c>
      <c r="B3" s="4" t="str">
        <f>IFERROR(ROUND(AVERAGEIF(Assessment!$A:$A,A3,Assessment!$J:$J),0),"")</f>
        <v/>
      </c>
      <c r="C3" s="4" t="str">
        <f>IFERROR(ROUND(AVERAGEIF(Assessment!$A:$A,A3,Assessment!$K:$K),0),"")</f>
        <v/>
      </c>
      <c r="D3" s="4" t="str">
        <f>IFERROR(ROUND(AVERAGEIF(Assessment!$A:$A,A3,Assessment!$L:$L),0),"")</f>
        <v/>
      </c>
      <c r="E3" s="4" t="str">
        <f>IFERROR(ROUND(AVERAGE(B3:D3),0),"")</f>
        <v/>
      </c>
      <c r="F3" s="4" t="str">
        <f>IF(E3="","",MAX(0,4-E3))</f>
        <v/>
      </c>
      <c r="G3" s="4" t="str">
        <f>IF(F3="","",IF(F3&gt;=3,"Alta",IF(F3=2,"Media",IF(F3=1,"Media","Baja"))))</f>
        <v/>
      </c>
    </row>
    <row r="4" spans="1:7" ht="30" customHeight="1" x14ac:dyDescent="0.3">
      <c r="A4" s="4" t="s">
        <v>110</v>
      </c>
      <c r="B4" s="4" t="str">
        <f>IFERROR(ROUND(AVERAGEIF(Assessment!$A:$A,A4,Assessment!$J:$J),0),"")</f>
        <v/>
      </c>
      <c r="C4" s="4" t="str">
        <f>IFERROR(ROUND(AVERAGEIF(Assessment!$A:$A,A4,Assessment!$K:$K),0),"")</f>
        <v/>
      </c>
      <c r="D4" s="4" t="str">
        <f>IFERROR(ROUND(AVERAGEIF(Assessment!$A:$A,A4,Assessment!$L:$L),0),"")</f>
        <v/>
      </c>
      <c r="E4" s="4" t="str">
        <f>IFERROR(ROUND(AVERAGE(B4:D4),0),"")</f>
        <v/>
      </c>
      <c r="F4" s="4" t="str">
        <f>IF(E4="","",MAX(0,4-E4))</f>
        <v/>
      </c>
      <c r="G4" s="4" t="str">
        <f>IF(F4="","",IF(F4&gt;=3,"Alta",IF(F4=2,"Media",IF(F4=1,"Media","Baja"))))</f>
        <v/>
      </c>
    </row>
    <row r="5" spans="1:7" ht="30" customHeight="1" x14ac:dyDescent="0.3">
      <c r="A5" s="4" t="s">
        <v>155</v>
      </c>
      <c r="B5" s="4" t="str">
        <f>IFERROR(ROUND(AVERAGE(B2:B4),0),"")</f>
        <v/>
      </c>
      <c r="C5" s="4" t="str">
        <f>IFERROR(ROUND(AVERAGE(C2:C4),0),"")</f>
        <v/>
      </c>
      <c r="D5" s="4" t="str">
        <f>IFERROR(ROUND(AVERAGE(D2:D4),0),"")</f>
        <v/>
      </c>
      <c r="E5" s="4" t="str">
        <f>IFERROR(ROUND(AVERAGE(E2:E4),0),"")</f>
        <v/>
      </c>
      <c r="F5" s="4" t="str">
        <f>IF(E5="","",MAX(0,4-E5))</f>
        <v/>
      </c>
      <c r="G5" s="4" t="str">
        <f>IF(F5="","",IF(F5&gt;=3,"Alta",IF(F5=2,"Media",IF(F5=1,"Media","Baja"))))</f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4" width="12" customWidth="1"/>
    <col min="5" max="5" width="14" customWidth="1"/>
    <col min="6" max="6" width="12" customWidth="1"/>
    <col min="7" max="7" width="10" customWidth="1"/>
    <col min="8" max="8" width="14" customWidth="1"/>
  </cols>
  <sheetData>
    <row r="1" spans="1:8" ht="30" customHeight="1" x14ac:dyDescent="0.3">
      <c r="A1" s="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15</v>
      </c>
    </row>
    <row r="2" spans="1:8" ht="84.9" customHeight="1" x14ac:dyDescent="0.3">
      <c r="A2" s="2" t="s">
        <v>20</v>
      </c>
      <c r="B2" s="2" t="s">
        <v>21</v>
      </c>
      <c r="C2" s="2">
        <f>Assessment!J2</f>
        <v>0</v>
      </c>
      <c r="D2" s="2">
        <f>Assessment!K2</f>
        <v>0</v>
      </c>
      <c r="E2" s="2">
        <f>Assessment!L2</f>
        <v>0</v>
      </c>
      <c r="F2" s="2" t="str">
        <f>Assessment!M2</f>
        <v/>
      </c>
      <c r="G2" s="2" t="str">
        <f>Assessment!O2</f>
        <v/>
      </c>
      <c r="H2" s="2" t="str">
        <f>Assessment!P2</f>
        <v/>
      </c>
    </row>
    <row r="3" spans="1:8" ht="84.9" customHeight="1" x14ac:dyDescent="0.3">
      <c r="A3" s="2" t="s">
        <v>20</v>
      </c>
      <c r="B3" s="2" t="s">
        <v>32</v>
      </c>
      <c r="C3" s="2">
        <f>Assessment!J3</f>
        <v>0</v>
      </c>
      <c r="D3" s="2">
        <f>Assessment!K3</f>
        <v>0</v>
      </c>
      <c r="E3" s="2">
        <f>Assessment!L3</f>
        <v>0</v>
      </c>
      <c r="F3" s="2" t="str">
        <f>Assessment!M3</f>
        <v/>
      </c>
      <c r="G3" s="2" t="str">
        <f>Assessment!O3</f>
        <v/>
      </c>
      <c r="H3" s="2" t="str">
        <f>Assessment!P3</f>
        <v/>
      </c>
    </row>
    <row r="4" spans="1:8" ht="84.9" customHeight="1" x14ac:dyDescent="0.3">
      <c r="A4" s="2" t="s">
        <v>20</v>
      </c>
      <c r="B4" s="2" t="s">
        <v>43</v>
      </c>
      <c r="C4" s="2">
        <f>Assessment!J4</f>
        <v>0</v>
      </c>
      <c r="D4" s="2">
        <f>Assessment!K4</f>
        <v>0</v>
      </c>
      <c r="E4" s="2">
        <f>Assessment!L4</f>
        <v>0</v>
      </c>
      <c r="F4" s="2" t="str">
        <f>Assessment!M4</f>
        <v/>
      </c>
      <c r="G4" s="2" t="str">
        <f>Assessment!O4</f>
        <v/>
      </c>
      <c r="H4" s="2" t="str">
        <f>Assessment!P4</f>
        <v/>
      </c>
    </row>
    <row r="5" spans="1:8" ht="84.9" customHeight="1" x14ac:dyDescent="0.3">
      <c r="A5" s="2" t="s">
        <v>20</v>
      </c>
      <c r="B5" s="2" t="s">
        <v>54</v>
      </c>
      <c r="C5" s="2">
        <f>Assessment!J5</f>
        <v>0</v>
      </c>
      <c r="D5" s="2">
        <f>Assessment!K5</f>
        <v>0</v>
      </c>
      <c r="E5" s="2">
        <f>Assessment!L5</f>
        <v>0</v>
      </c>
      <c r="F5" s="2" t="str">
        <f>Assessment!M5</f>
        <v/>
      </c>
      <c r="G5" s="2" t="str">
        <f>Assessment!O5</f>
        <v/>
      </c>
      <c r="H5" s="2" t="str">
        <f>Assessment!P5</f>
        <v/>
      </c>
    </row>
    <row r="6" spans="1:8" ht="84.9" customHeight="1" x14ac:dyDescent="0.3">
      <c r="A6" s="2" t="s">
        <v>65</v>
      </c>
      <c r="B6" s="2" t="s">
        <v>66</v>
      </c>
      <c r="C6" s="2">
        <f>Assessment!J6</f>
        <v>0</v>
      </c>
      <c r="D6" s="2">
        <f>Assessment!K6</f>
        <v>0</v>
      </c>
      <c r="E6" s="2">
        <f>Assessment!L6</f>
        <v>0</v>
      </c>
      <c r="F6" s="2" t="str">
        <f>Assessment!M6</f>
        <v/>
      </c>
      <c r="G6" s="2" t="str">
        <f>Assessment!O6</f>
        <v/>
      </c>
      <c r="H6" s="2" t="str">
        <f>Assessment!P6</f>
        <v/>
      </c>
    </row>
    <row r="7" spans="1:8" ht="84.9" customHeight="1" x14ac:dyDescent="0.3">
      <c r="A7" s="2" t="s">
        <v>65</v>
      </c>
      <c r="B7" s="2" t="s">
        <v>77</v>
      </c>
      <c r="C7" s="2">
        <f>Assessment!J7</f>
        <v>0</v>
      </c>
      <c r="D7" s="2">
        <f>Assessment!K7</f>
        <v>0</v>
      </c>
      <c r="E7" s="2">
        <f>Assessment!L7</f>
        <v>0</v>
      </c>
      <c r="F7" s="2" t="str">
        <f>Assessment!M7</f>
        <v/>
      </c>
      <c r="G7" s="2" t="str">
        <f>Assessment!O7</f>
        <v/>
      </c>
      <c r="H7" s="2" t="str">
        <f>Assessment!P7</f>
        <v/>
      </c>
    </row>
    <row r="8" spans="1:8" ht="84.9" customHeight="1" x14ac:dyDescent="0.3">
      <c r="A8" s="2" t="s">
        <v>65</v>
      </c>
      <c r="B8" s="2" t="s">
        <v>88</v>
      </c>
      <c r="C8" s="2">
        <f>Assessment!J8</f>
        <v>0</v>
      </c>
      <c r="D8" s="2">
        <f>Assessment!K8</f>
        <v>0</v>
      </c>
      <c r="E8" s="2">
        <f>Assessment!L8</f>
        <v>0</v>
      </c>
      <c r="F8" s="2" t="str">
        <f>Assessment!M8</f>
        <v/>
      </c>
      <c r="G8" s="2" t="str">
        <f>Assessment!O8</f>
        <v/>
      </c>
      <c r="H8" s="2" t="str">
        <f>Assessment!P8</f>
        <v/>
      </c>
    </row>
    <row r="9" spans="1:8" ht="84.9" customHeight="1" x14ac:dyDescent="0.3">
      <c r="A9" s="2" t="s">
        <v>65</v>
      </c>
      <c r="B9" s="2" t="s">
        <v>99</v>
      </c>
      <c r="C9" s="2">
        <f>Assessment!J9</f>
        <v>0</v>
      </c>
      <c r="D9" s="2">
        <f>Assessment!K9</f>
        <v>0</v>
      </c>
      <c r="E9" s="2">
        <f>Assessment!L9</f>
        <v>0</v>
      </c>
      <c r="F9" s="2" t="str">
        <f>Assessment!M9</f>
        <v/>
      </c>
      <c r="G9" s="2" t="str">
        <f>Assessment!O9</f>
        <v/>
      </c>
      <c r="H9" s="2" t="str">
        <f>Assessment!P9</f>
        <v/>
      </c>
    </row>
    <row r="10" spans="1:8" ht="84.9" customHeight="1" x14ac:dyDescent="0.3">
      <c r="A10" s="2" t="s">
        <v>110</v>
      </c>
      <c r="B10" s="2" t="s">
        <v>111</v>
      </c>
      <c r="C10" s="2">
        <f>Assessment!J10</f>
        <v>0</v>
      </c>
      <c r="D10" s="2">
        <f>Assessment!K10</f>
        <v>0</v>
      </c>
      <c r="E10" s="2">
        <f>Assessment!L10</f>
        <v>0</v>
      </c>
      <c r="F10" s="2" t="str">
        <f>Assessment!M10</f>
        <v/>
      </c>
      <c r="G10" s="2" t="str">
        <f>Assessment!O10</f>
        <v/>
      </c>
      <c r="H10" s="2" t="str">
        <f>Assessment!P10</f>
        <v/>
      </c>
    </row>
    <row r="11" spans="1:8" ht="84.9" customHeight="1" x14ac:dyDescent="0.3">
      <c r="A11" s="2" t="s">
        <v>110</v>
      </c>
      <c r="B11" s="2" t="s">
        <v>122</v>
      </c>
      <c r="C11" s="2">
        <f>Assessment!J11</f>
        <v>0</v>
      </c>
      <c r="D11" s="2">
        <f>Assessment!K11</f>
        <v>0</v>
      </c>
      <c r="E11" s="2">
        <f>Assessment!L11</f>
        <v>0</v>
      </c>
      <c r="F11" s="2" t="str">
        <f>Assessment!M11</f>
        <v/>
      </c>
      <c r="G11" s="2" t="str">
        <f>Assessment!O11</f>
        <v/>
      </c>
      <c r="H11" s="2" t="str">
        <f>Assessment!P11</f>
        <v/>
      </c>
    </row>
    <row r="12" spans="1:8" ht="84.9" customHeight="1" x14ac:dyDescent="0.3">
      <c r="A12" s="2" t="s">
        <v>110</v>
      </c>
      <c r="B12" s="2" t="s">
        <v>133</v>
      </c>
      <c r="C12" s="2">
        <f>Assessment!J12</f>
        <v>0</v>
      </c>
      <c r="D12" s="2">
        <f>Assessment!K12</f>
        <v>0</v>
      </c>
      <c r="E12" s="2">
        <f>Assessment!L12</f>
        <v>0</v>
      </c>
      <c r="F12" s="2" t="str">
        <f>Assessment!M12</f>
        <v/>
      </c>
      <c r="G12" s="2" t="str">
        <f>Assessment!O12</f>
        <v/>
      </c>
      <c r="H12" s="2" t="str">
        <f>Assessment!P12</f>
        <v/>
      </c>
    </row>
    <row r="13" spans="1:8" ht="84.9" customHeight="1" x14ac:dyDescent="0.3">
      <c r="A13" s="2" t="s">
        <v>110</v>
      </c>
      <c r="B13" s="2" t="s">
        <v>144</v>
      </c>
      <c r="C13" s="2">
        <f>Assessment!J13</f>
        <v>0</v>
      </c>
      <c r="D13" s="2">
        <f>Assessment!K13</f>
        <v>0</v>
      </c>
      <c r="E13" s="2">
        <f>Assessment!L13</f>
        <v>0</v>
      </c>
      <c r="F13" s="2" t="str">
        <f>Assessment!M13</f>
        <v/>
      </c>
      <c r="G13" s="2" t="str">
        <f>Assessment!O13</f>
        <v/>
      </c>
      <c r="H13" s="2" t="str">
        <f>Assessment!P13</f>
        <v/>
      </c>
    </row>
  </sheetData>
  <autoFilter ref="A1:H13" xr:uid="{00000000-0009-0000-0000-000002000000}"/>
  <conditionalFormatting sqref="C2:F13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G2:G13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3" width="10" customWidth="1"/>
    <col min="4" max="4" width="14" customWidth="1"/>
    <col min="5" max="5" width="65" customWidth="1"/>
    <col min="6" max="6" width="58" customWidth="1"/>
    <col min="7" max="7" width="14" customWidth="1"/>
    <col min="8" max="8" width="18" customWidth="1"/>
    <col min="9" max="9" width="16" customWidth="1"/>
    <col min="10" max="10" width="35" customWidth="1"/>
  </cols>
  <sheetData>
    <row r="1" spans="1:10" ht="30" customHeight="1" x14ac:dyDescent="0.3">
      <c r="A1" s="1" t="s">
        <v>0</v>
      </c>
      <c r="B1" s="1" t="s">
        <v>1</v>
      </c>
      <c r="C1" s="1" t="s">
        <v>160</v>
      </c>
      <c r="D1" s="1" t="s">
        <v>15</v>
      </c>
      <c r="E1" s="1" t="s">
        <v>18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 ht="84.9" customHeight="1" x14ac:dyDescent="0.3">
      <c r="A2" s="2" t="s">
        <v>20</v>
      </c>
      <c r="B2" s="2" t="s">
        <v>21</v>
      </c>
      <c r="C2" s="2" t="str">
        <f>Assessment!O2</f>
        <v/>
      </c>
      <c r="D2" s="2" t="str">
        <f>Assessment!P2</f>
        <v/>
      </c>
      <c r="E2" s="2" t="s">
        <v>31</v>
      </c>
      <c r="F2" s="2" t="s">
        <v>210</v>
      </c>
      <c r="G2" s="2" t="str">
        <f t="shared" ref="G2:G13" si="0">IF(C2="","",IF(C2&gt;=3,"Oleada 1",IF(C2=2,"Oleada 2",IF(C2=1,"Oleada 3",""))))</f>
        <v/>
      </c>
      <c r="H2" s="2"/>
      <c r="I2" s="2" t="s">
        <v>166</v>
      </c>
      <c r="J2" s="2"/>
    </row>
    <row r="3" spans="1:10" ht="84.9" customHeight="1" x14ac:dyDescent="0.3">
      <c r="A3" s="2" t="s">
        <v>20</v>
      </c>
      <c r="B3" s="2" t="s">
        <v>32</v>
      </c>
      <c r="C3" s="2" t="str">
        <f>Assessment!O3</f>
        <v/>
      </c>
      <c r="D3" s="2" t="str">
        <f>Assessment!P3</f>
        <v/>
      </c>
      <c r="E3" s="2" t="s">
        <v>42</v>
      </c>
      <c r="F3" s="2" t="s">
        <v>211</v>
      </c>
      <c r="G3" s="2" t="str">
        <f t="shared" si="0"/>
        <v/>
      </c>
      <c r="H3" s="2"/>
      <c r="I3" s="2" t="s">
        <v>166</v>
      </c>
      <c r="J3" s="2"/>
    </row>
    <row r="4" spans="1:10" ht="84.9" customHeight="1" x14ac:dyDescent="0.3">
      <c r="A4" s="2" t="s">
        <v>20</v>
      </c>
      <c r="B4" s="2" t="s">
        <v>43</v>
      </c>
      <c r="C4" s="2" t="str">
        <f>Assessment!O4</f>
        <v/>
      </c>
      <c r="D4" s="2" t="str">
        <f>Assessment!P4</f>
        <v/>
      </c>
      <c r="E4" s="2" t="s">
        <v>53</v>
      </c>
      <c r="F4" s="2" t="s">
        <v>212</v>
      </c>
      <c r="G4" s="2" t="str">
        <f t="shared" si="0"/>
        <v/>
      </c>
      <c r="H4" s="2"/>
      <c r="I4" s="2" t="s">
        <v>166</v>
      </c>
      <c r="J4" s="2"/>
    </row>
    <row r="5" spans="1:10" ht="84.9" customHeight="1" x14ac:dyDescent="0.3">
      <c r="A5" s="2" t="s">
        <v>20</v>
      </c>
      <c r="B5" s="2" t="s">
        <v>54</v>
      </c>
      <c r="C5" s="2" t="str">
        <f>Assessment!O5</f>
        <v/>
      </c>
      <c r="D5" s="2" t="str">
        <f>Assessment!P5</f>
        <v/>
      </c>
      <c r="E5" s="2" t="s">
        <v>64</v>
      </c>
      <c r="F5" s="2" t="s">
        <v>213</v>
      </c>
      <c r="G5" s="2" t="str">
        <f t="shared" si="0"/>
        <v/>
      </c>
      <c r="H5" s="2"/>
      <c r="I5" s="2" t="s">
        <v>166</v>
      </c>
      <c r="J5" s="2"/>
    </row>
    <row r="6" spans="1:10" ht="84.9" customHeight="1" x14ac:dyDescent="0.3">
      <c r="A6" s="2" t="s">
        <v>65</v>
      </c>
      <c r="B6" s="2" t="s">
        <v>66</v>
      </c>
      <c r="C6" s="2" t="str">
        <f>Assessment!O6</f>
        <v/>
      </c>
      <c r="D6" s="2" t="str">
        <f>Assessment!P6</f>
        <v/>
      </c>
      <c r="E6" s="2" t="s">
        <v>76</v>
      </c>
      <c r="F6" s="2" t="s">
        <v>214</v>
      </c>
      <c r="G6" s="2" t="str">
        <f t="shared" si="0"/>
        <v/>
      </c>
      <c r="H6" s="2"/>
      <c r="I6" s="2" t="s">
        <v>166</v>
      </c>
      <c r="J6" s="2"/>
    </row>
    <row r="7" spans="1:10" ht="84.9" customHeight="1" x14ac:dyDescent="0.3">
      <c r="A7" s="2" t="s">
        <v>65</v>
      </c>
      <c r="B7" s="2" t="s">
        <v>77</v>
      </c>
      <c r="C7" s="2" t="str">
        <f>Assessment!O7</f>
        <v/>
      </c>
      <c r="D7" s="2" t="str">
        <f>Assessment!P7</f>
        <v/>
      </c>
      <c r="E7" s="2" t="s">
        <v>87</v>
      </c>
      <c r="F7" s="2" t="s">
        <v>215</v>
      </c>
      <c r="G7" s="2" t="str">
        <f t="shared" si="0"/>
        <v/>
      </c>
      <c r="H7" s="2"/>
      <c r="I7" s="2" t="s">
        <v>166</v>
      </c>
      <c r="J7" s="2"/>
    </row>
    <row r="8" spans="1:10" ht="84.9" customHeight="1" x14ac:dyDescent="0.3">
      <c r="A8" s="2" t="s">
        <v>65</v>
      </c>
      <c r="B8" s="2" t="s">
        <v>88</v>
      </c>
      <c r="C8" s="2" t="str">
        <f>Assessment!O8</f>
        <v/>
      </c>
      <c r="D8" s="2" t="str">
        <f>Assessment!P8</f>
        <v/>
      </c>
      <c r="E8" s="2" t="s">
        <v>98</v>
      </c>
      <c r="F8" s="2" t="s">
        <v>216</v>
      </c>
      <c r="G8" s="2" t="str">
        <f t="shared" si="0"/>
        <v/>
      </c>
      <c r="H8" s="2"/>
      <c r="I8" s="2" t="s">
        <v>166</v>
      </c>
      <c r="J8" s="2"/>
    </row>
    <row r="9" spans="1:10" ht="84.9" customHeight="1" x14ac:dyDescent="0.3">
      <c r="A9" s="2" t="s">
        <v>65</v>
      </c>
      <c r="B9" s="2" t="s">
        <v>99</v>
      </c>
      <c r="C9" s="2" t="str">
        <f>Assessment!O9</f>
        <v/>
      </c>
      <c r="D9" s="2" t="str">
        <f>Assessment!P9</f>
        <v/>
      </c>
      <c r="E9" s="2" t="s">
        <v>109</v>
      </c>
      <c r="F9" s="2" t="s">
        <v>217</v>
      </c>
      <c r="G9" s="2" t="str">
        <f t="shared" si="0"/>
        <v/>
      </c>
      <c r="H9" s="2"/>
      <c r="I9" s="2" t="s">
        <v>166</v>
      </c>
      <c r="J9" s="2"/>
    </row>
    <row r="10" spans="1:10" ht="84.9" customHeight="1" x14ac:dyDescent="0.3">
      <c r="A10" s="2" t="s">
        <v>110</v>
      </c>
      <c r="B10" s="2" t="s">
        <v>111</v>
      </c>
      <c r="C10" s="2" t="str">
        <f>Assessment!O10</f>
        <v/>
      </c>
      <c r="D10" s="2" t="str">
        <f>Assessment!P10</f>
        <v/>
      </c>
      <c r="E10" s="2" t="s">
        <v>121</v>
      </c>
      <c r="F10" s="2" t="s">
        <v>218</v>
      </c>
      <c r="G10" s="2" t="str">
        <f t="shared" si="0"/>
        <v/>
      </c>
      <c r="H10" s="2"/>
      <c r="I10" s="2" t="s">
        <v>166</v>
      </c>
      <c r="J10" s="2"/>
    </row>
    <row r="11" spans="1:10" ht="84.9" customHeight="1" x14ac:dyDescent="0.3">
      <c r="A11" s="2" t="s">
        <v>110</v>
      </c>
      <c r="B11" s="2" t="s">
        <v>122</v>
      </c>
      <c r="C11" s="2" t="str">
        <f>Assessment!O11</f>
        <v/>
      </c>
      <c r="D11" s="2" t="str">
        <f>Assessment!P11</f>
        <v/>
      </c>
      <c r="E11" s="2" t="s">
        <v>132</v>
      </c>
      <c r="F11" s="2" t="s">
        <v>219</v>
      </c>
      <c r="G11" s="2" t="str">
        <f t="shared" si="0"/>
        <v/>
      </c>
      <c r="H11" s="2"/>
      <c r="I11" s="2" t="s">
        <v>166</v>
      </c>
      <c r="J11" s="2"/>
    </row>
    <row r="12" spans="1:10" ht="84.9" customHeight="1" x14ac:dyDescent="0.3">
      <c r="A12" s="2" t="s">
        <v>110</v>
      </c>
      <c r="B12" s="2" t="s">
        <v>133</v>
      </c>
      <c r="C12" s="2" t="str">
        <f>Assessment!O12</f>
        <v/>
      </c>
      <c r="D12" s="2" t="str">
        <f>Assessment!P12</f>
        <v/>
      </c>
      <c r="E12" s="2" t="s">
        <v>143</v>
      </c>
      <c r="F12" s="2" t="s">
        <v>220</v>
      </c>
      <c r="G12" s="2" t="str">
        <f t="shared" si="0"/>
        <v/>
      </c>
      <c r="H12" s="2"/>
      <c r="I12" s="2" t="s">
        <v>166</v>
      </c>
      <c r="J12" s="2"/>
    </row>
    <row r="13" spans="1:10" ht="84.9" customHeight="1" x14ac:dyDescent="0.3">
      <c r="A13" s="2" t="s">
        <v>110</v>
      </c>
      <c r="B13" s="2" t="s">
        <v>144</v>
      </c>
      <c r="C13" s="2" t="str">
        <f>Assessment!O13</f>
        <v/>
      </c>
      <c r="D13" s="2" t="str">
        <f>Assessment!P13</f>
        <v/>
      </c>
      <c r="E13" s="2" t="s">
        <v>154</v>
      </c>
      <c r="F13" s="2" t="s">
        <v>221</v>
      </c>
      <c r="G13" s="2" t="str">
        <f t="shared" si="0"/>
        <v/>
      </c>
      <c r="H13" s="2"/>
      <c r="I13" s="2" t="s">
        <v>166</v>
      </c>
      <c r="J13" s="2"/>
    </row>
  </sheetData>
  <autoFilter ref="A1:J13" xr:uid="{00000000-0009-0000-0000-000003000000}"/>
  <dataValidations count="1">
    <dataValidation type="list" allowBlank="1" sqref="I2:I13" xr:uid="{00000000-0002-0000-0300-000000000000}">
      <formula1>"No iniciado,En curso,Completado,En pausa"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3" width="65" customWidth="1"/>
    <col min="4" max="4" width="80" customWidth="1"/>
    <col min="5" max="5" width="35" customWidth="1"/>
  </cols>
  <sheetData>
    <row r="1" spans="1:5" ht="30" customHeight="1" x14ac:dyDescent="0.3">
      <c r="A1" s="1" t="s">
        <v>0</v>
      </c>
      <c r="B1" s="1" t="s">
        <v>1</v>
      </c>
      <c r="C1" s="1" t="s">
        <v>8</v>
      </c>
      <c r="D1" s="1" t="s">
        <v>167</v>
      </c>
      <c r="E1" s="1" t="s">
        <v>168</v>
      </c>
    </row>
    <row r="2" spans="1:5" ht="84.9" customHeight="1" x14ac:dyDescent="0.3">
      <c r="A2" s="2" t="s">
        <v>20</v>
      </c>
      <c r="B2" s="2" t="s">
        <v>21</v>
      </c>
      <c r="C2" s="2" t="s">
        <v>210</v>
      </c>
      <c r="D2" s="2" t="s">
        <v>27</v>
      </c>
      <c r="E2" s="2" t="s">
        <v>169</v>
      </c>
    </row>
    <row r="3" spans="1:5" ht="84.9" customHeight="1" x14ac:dyDescent="0.3">
      <c r="A3" s="2" t="s">
        <v>20</v>
      </c>
      <c r="B3" s="2" t="s">
        <v>32</v>
      </c>
      <c r="C3" s="2" t="s">
        <v>211</v>
      </c>
      <c r="D3" s="2" t="s">
        <v>38</v>
      </c>
      <c r="E3" s="2" t="s">
        <v>169</v>
      </c>
    </row>
    <row r="4" spans="1:5" ht="84.9" customHeight="1" x14ac:dyDescent="0.3">
      <c r="A4" s="2" t="s">
        <v>20</v>
      </c>
      <c r="B4" s="2" t="s">
        <v>43</v>
      </c>
      <c r="C4" s="2" t="s">
        <v>212</v>
      </c>
      <c r="D4" s="2" t="s">
        <v>49</v>
      </c>
      <c r="E4" s="2" t="s">
        <v>169</v>
      </c>
    </row>
    <row r="5" spans="1:5" ht="84.9" customHeight="1" x14ac:dyDescent="0.3">
      <c r="A5" s="2" t="s">
        <v>20</v>
      </c>
      <c r="B5" s="2" t="s">
        <v>54</v>
      </c>
      <c r="C5" s="2" t="s">
        <v>213</v>
      </c>
      <c r="D5" s="2" t="s">
        <v>60</v>
      </c>
      <c r="E5" s="2" t="s">
        <v>169</v>
      </c>
    </row>
    <row r="6" spans="1:5" ht="84.9" customHeight="1" x14ac:dyDescent="0.3">
      <c r="A6" s="2" t="s">
        <v>65</v>
      </c>
      <c r="B6" s="2" t="s">
        <v>66</v>
      </c>
      <c r="C6" s="2" t="s">
        <v>214</v>
      </c>
      <c r="D6" s="2" t="s">
        <v>72</v>
      </c>
      <c r="E6" s="2" t="s">
        <v>169</v>
      </c>
    </row>
    <row r="7" spans="1:5" ht="84.9" customHeight="1" x14ac:dyDescent="0.3">
      <c r="A7" s="2" t="s">
        <v>65</v>
      </c>
      <c r="B7" s="2" t="s">
        <v>77</v>
      </c>
      <c r="C7" s="2" t="s">
        <v>215</v>
      </c>
      <c r="D7" s="2" t="s">
        <v>83</v>
      </c>
      <c r="E7" s="2" t="s">
        <v>169</v>
      </c>
    </row>
    <row r="8" spans="1:5" ht="84.9" customHeight="1" x14ac:dyDescent="0.3">
      <c r="A8" s="2" t="s">
        <v>65</v>
      </c>
      <c r="B8" s="2" t="s">
        <v>88</v>
      </c>
      <c r="C8" s="2" t="s">
        <v>216</v>
      </c>
      <c r="D8" s="2" t="s">
        <v>94</v>
      </c>
      <c r="E8" s="2" t="s">
        <v>169</v>
      </c>
    </row>
    <row r="9" spans="1:5" ht="84.9" customHeight="1" x14ac:dyDescent="0.3">
      <c r="A9" s="2" t="s">
        <v>65</v>
      </c>
      <c r="B9" s="2" t="s">
        <v>99</v>
      </c>
      <c r="C9" s="2" t="s">
        <v>217</v>
      </c>
      <c r="D9" s="2" t="s">
        <v>105</v>
      </c>
      <c r="E9" s="2" t="s">
        <v>169</v>
      </c>
    </row>
    <row r="10" spans="1:5" ht="84.9" customHeight="1" x14ac:dyDescent="0.3">
      <c r="A10" s="2" t="s">
        <v>110</v>
      </c>
      <c r="B10" s="2" t="s">
        <v>111</v>
      </c>
      <c r="C10" s="2" t="s">
        <v>218</v>
      </c>
      <c r="D10" s="2" t="s">
        <v>117</v>
      </c>
      <c r="E10" s="2" t="s">
        <v>169</v>
      </c>
    </row>
    <row r="11" spans="1:5" ht="84.9" customHeight="1" x14ac:dyDescent="0.3">
      <c r="A11" s="2" t="s">
        <v>110</v>
      </c>
      <c r="B11" s="2" t="s">
        <v>122</v>
      </c>
      <c r="C11" s="2" t="s">
        <v>219</v>
      </c>
      <c r="D11" s="2" t="s">
        <v>128</v>
      </c>
      <c r="E11" s="2" t="s">
        <v>169</v>
      </c>
    </row>
    <row r="12" spans="1:5" ht="84.9" customHeight="1" x14ac:dyDescent="0.3">
      <c r="A12" s="2" t="s">
        <v>110</v>
      </c>
      <c r="B12" s="2" t="s">
        <v>133</v>
      </c>
      <c r="C12" s="2" t="s">
        <v>220</v>
      </c>
      <c r="D12" s="2" t="s">
        <v>139</v>
      </c>
      <c r="E12" s="2" t="s">
        <v>169</v>
      </c>
    </row>
    <row r="13" spans="1:5" ht="84.9" customHeight="1" x14ac:dyDescent="0.3">
      <c r="A13" s="2" t="s">
        <v>110</v>
      </c>
      <c r="B13" s="2" t="s">
        <v>144</v>
      </c>
      <c r="C13" s="2" t="s">
        <v>221</v>
      </c>
      <c r="D13" s="2" t="s">
        <v>150</v>
      </c>
      <c r="E13" s="2" t="s">
        <v>169</v>
      </c>
    </row>
  </sheetData>
  <autoFilter ref="A1:E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/>
  </sheetViews>
  <sheetFormatPr defaultRowHeight="14.4" x14ac:dyDescent="0.3"/>
  <cols>
    <col min="1" max="1" width="28" customWidth="1"/>
    <col min="2" max="2" width="95" customWidth="1"/>
  </cols>
  <sheetData>
    <row r="1" spans="1:2" ht="30" customHeight="1" x14ac:dyDescent="0.3">
      <c r="A1" s="1" t="s">
        <v>170</v>
      </c>
      <c r="B1" s="1"/>
    </row>
    <row r="2" spans="1:2" ht="30" customHeight="1" x14ac:dyDescent="0.3">
      <c r="A2" s="5" t="s">
        <v>171</v>
      </c>
      <c r="B2" s="5"/>
    </row>
    <row r="3" spans="1:2" ht="30" customHeight="1" x14ac:dyDescent="0.3">
      <c r="A3" s="2" t="s">
        <v>3</v>
      </c>
      <c r="B3" s="2" t="s">
        <v>172</v>
      </c>
    </row>
    <row r="4" spans="1:2" ht="30" customHeight="1" x14ac:dyDescent="0.3">
      <c r="A4" s="2" t="s">
        <v>4</v>
      </c>
      <c r="B4" s="2" t="s">
        <v>173</v>
      </c>
    </row>
    <row r="5" spans="1:2" ht="30" customHeight="1" x14ac:dyDescent="0.3">
      <c r="A5" s="2" t="s">
        <v>5</v>
      </c>
      <c r="B5" s="2" t="s">
        <v>174</v>
      </c>
    </row>
    <row r="6" spans="1:2" ht="30" customHeight="1" x14ac:dyDescent="0.3">
      <c r="A6" s="2" t="s">
        <v>6</v>
      </c>
      <c r="B6" s="2" t="s">
        <v>175</v>
      </c>
    </row>
    <row r="7" spans="1:2" ht="30" customHeight="1" x14ac:dyDescent="0.3">
      <c r="A7" s="2" t="s">
        <v>176</v>
      </c>
      <c r="B7" s="2" t="s">
        <v>177</v>
      </c>
    </row>
    <row r="8" spans="1:2" ht="30" customHeight="1" x14ac:dyDescent="0.3">
      <c r="A8" s="2"/>
      <c r="B8" s="2"/>
    </row>
    <row r="9" spans="1:2" ht="30" customHeight="1" x14ac:dyDescent="0.3">
      <c r="A9" s="5" t="s">
        <v>178</v>
      </c>
      <c r="B9" s="5"/>
    </row>
    <row r="10" spans="1:2" ht="30" customHeight="1" x14ac:dyDescent="0.3">
      <c r="A10" s="2" t="s">
        <v>3</v>
      </c>
      <c r="B10" s="2" t="s">
        <v>179</v>
      </c>
    </row>
    <row r="11" spans="1:2" ht="30" customHeight="1" x14ac:dyDescent="0.3">
      <c r="A11" s="2" t="s">
        <v>4</v>
      </c>
      <c r="B11" s="2" t="s">
        <v>180</v>
      </c>
    </row>
    <row r="12" spans="1:2" ht="30" customHeight="1" x14ac:dyDescent="0.3">
      <c r="A12" s="2" t="s">
        <v>5</v>
      </c>
      <c r="B12" s="2" t="s">
        <v>181</v>
      </c>
    </row>
    <row r="13" spans="1:2" ht="30" customHeight="1" x14ac:dyDescent="0.3">
      <c r="A13" s="2" t="s">
        <v>6</v>
      </c>
      <c r="B13" s="2" t="s">
        <v>182</v>
      </c>
    </row>
    <row r="14" spans="1:2" ht="30" customHeight="1" x14ac:dyDescent="0.3">
      <c r="A14" s="2" t="s">
        <v>176</v>
      </c>
      <c r="B14" s="2" t="s">
        <v>183</v>
      </c>
    </row>
    <row r="15" spans="1:2" ht="30" customHeight="1" x14ac:dyDescent="0.3">
      <c r="A15" s="2"/>
      <c r="B15" s="2"/>
    </row>
    <row r="16" spans="1:2" ht="30" customHeight="1" x14ac:dyDescent="0.3">
      <c r="A16" s="5" t="s">
        <v>184</v>
      </c>
      <c r="B16" s="5"/>
    </row>
    <row r="17" spans="1:2" ht="30" customHeight="1" x14ac:dyDescent="0.3">
      <c r="A17" s="2" t="s">
        <v>3</v>
      </c>
      <c r="B17" s="2" t="s">
        <v>185</v>
      </c>
    </row>
    <row r="18" spans="1:2" ht="30" customHeight="1" x14ac:dyDescent="0.3">
      <c r="A18" s="2" t="s">
        <v>4</v>
      </c>
      <c r="B18" s="2" t="s">
        <v>186</v>
      </c>
    </row>
    <row r="19" spans="1:2" ht="30" customHeight="1" x14ac:dyDescent="0.3">
      <c r="A19" s="2" t="s">
        <v>5</v>
      </c>
      <c r="B19" s="2" t="s">
        <v>187</v>
      </c>
    </row>
    <row r="20" spans="1:2" ht="30" customHeight="1" x14ac:dyDescent="0.3">
      <c r="A20" s="2" t="s">
        <v>6</v>
      </c>
      <c r="B20" s="2" t="s">
        <v>188</v>
      </c>
    </row>
    <row r="21" spans="1:2" ht="30" customHeight="1" x14ac:dyDescent="0.3">
      <c r="A21" s="2" t="s">
        <v>176</v>
      </c>
      <c r="B21" s="2" t="s">
        <v>189</v>
      </c>
    </row>
    <row r="22" spans="1:2" ht="30" customHeight="1" x14ac:dyDescent="0.3">
      <c r="A22" s="2"/>
      <c r="B22" s="2"/>
    </row>
    <row r="23" spans="1:2" ht="30" customHeight="1" x14ac:dyDescent="0.3">
      <c r="A23" s="5" t="s">
        <v>190</v>
      </c>
      <c r="B23" s="5"/>
    </row>
    <row r="24" spans="1:2" ht="30" customHeight="1" x14ac:dyDescent="0.3">
      <c r="A24" s="2" t="s">
        <v>191</v>
      </c>
      <c r="B24" s="2" t="s">
        <v>192</v>
      </c>
    </row>
    <row r="25" spans="1:2" ht="30" customHeight="1" x14ac:dyDescent="0.3">
      <c r="A25" s="2" t="s">
        <v>193</v>
      </c>
      <c r="B25" s="2" t="s">
        <v>194</v>
      </c>
    </row>
    <row r="26" spans="1:2" ht="30" customHeight="1" x14ac:dyDescent="0.3">
      <c r="A26" s="2" t="s">
        <v>195</v>
      </c>
      <c r="B26" s="2" t="s">
        <v>196</v>
      </c>
    </row>
    <row r="27" spans="1:2" ht="30" customHeight="1" x14ac:dyDescent="0.3">
      <c r="A27" s="2" t="s">
        <v>197</v>
      </c>
      <c r="B27" s="2" t="s">
        <v>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sqref="A1:B1"/>
    </sheetView>
  </sheetViews>
  <sheetFormatPr defaultRowHeight="14.4" x14ac:dyDescent="0.3"/>
  <cols>
    <col min="1" max="1" width="28" customWidth="1"/>
    <col min="2" max="2" width="115" customWidth="1"/>
  </cols>
  <sheetData>
    <row r="1" spans="1:2" ht="30" customHeight="1" x14ac:dyDescent="0.3">
      <c r="A1" s="7" t="s">
        <v>199</v>
      </c>
      <c r="B1" s="8"/>
    </row>
    <row r="2" spans="1:2" ht="30" customHeight="1" x14ac:dyDescent="0.3">
      <c r="A2" s="6" t="s">
        <v>200</v>
      </c>
      <c r="B2" s="2" t="s">
        <v>201</v>
      </c>
    </row>
    <row r="3" spans="1:2" ht="30" customHeight="1" x14ac:dyDescent="0.3">
      <c r="A3" s="6" t="s">
        <v>202</v>
      </c>
      <c r="B3" s="2" t="s">
        <v>203</v>
      </c>
    </row>
    <row r="4" spans="1:2" ht="30" customHeight="1" x14ac:dyDescent="0.3">
      <c r="A4" s="6" t="s">
        <v>204</v>
      </c>
      <c r="B4" s="2" t="s">
        <v>205</v>
      </c>
    </row>
    <row r="5" spans="1:2" ht="30" customHeight="1" x14ac:dyDescent="0.3">
      <c r="A5" s="6" t="s">
        <v>206</v>
      </c>
      <c r="B5" s="2" t="s">
        <v>207</v>
      </c>
    </row>
    <row r="6" spans="1:2" ht="30" customHeight="1" x14ac:dyDescent="0.3">
      <c r="A6" s="6" t="s">
        <v>208</v>
      </c>
      <c r="B6" s="2" t="s">
        <v>209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6FA29F310CEA4A92E7055778740EF9" ma:contentTypeVersion="3" ma:contentTypeDescription="Crear nuevo documento." ma:contentTypeScope="" ma:versionID="6434e39657608d9e2815aff4bbdc6824">
  <xsd:schema xmlns:xsd="http://www.w3.org/2001/XMLSchema" xmlns:xs="http://www.w3.org/2001/XMLSchema" xmlns:p="http://schemas.microsoft.com/office/2006/metadata/properties" xmlns:ns2="da3482d0-81c1-4135-8399-90eebe419dbb" targetNamespace="http://schemas.microsoft.com/office/2006/metadata/properties" ma:root="true" ma:fieldsID="d96165a36436cef3f51f92079d6e8c94" ns2:_="">
    <xsd:import namespace="da3482d0-81c1-4135-8399-90eebe419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82d0-81c1-4135-8399-90eebe419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D79A42-0B9F-4E45-B73F-ED72E1F40183}"/>
</file>

<file path=customXml/itemProps2.xml><?xml version="1.0" encoding="utf-8"?>
<ds:datastoreItem xmlns:ds="http://schemas.openxmlformats.org/officeDocument/2006/customXml" ds:itemID="{2C2909EA-6B92-43E5-8364-50E2D9A6438C}"/>
</file>

<file path=customXml/itemProps3.xml><?xml version="1.0" encoding="utf-8"?>
<ds:datastoreItem xmlns:ds="http://schemas.openxmlformats.org/officeDocument/2006/customXml" ds:itemID="{E4AD06CA-EF5D-4E7C-AAF6-4F2C237FF96D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Assessment</vt:lpstr>
      <vt:lpstr>Resumen</vt:lpstr>
      <vt:lpstr>Heatmap</vt:lpstr>
      <vt:lpstr>Roadmap</vt:lpstr>
      <vt:lpstr>AI Overlay</vt:lpstr>
      <vt:lpstr>Guias scoring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2026-07-15T14:47:15Z</dcterms:created>
  <dcterms:modified xsi:type="dcterms:W3CDTF">2026-07-16T08:35:04Z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0x010100216FA29F310CEA4A92E7055778740EF9</vt:lpwstr>
  </property>
</Properties>
</file>