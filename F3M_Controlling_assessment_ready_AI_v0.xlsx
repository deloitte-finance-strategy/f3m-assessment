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resources.deloitte.com/sites/FinanceStrategy-2.F3M-FinanceAssessmentAccelerator/Shared Documents/2. Controlling Assessment framework/"/>
    </mc:Choice>
  </mc:AlternateContent>
  <xr:revisionPtr revIDLastSave="2" documentId="8_{D0E4D648-52AD-4794-A206-8C06725C766F}" xr6:coauthVersionLast="47" xr6:coauthVersionMax="47" xr10:uidLastSave="{DC57B80C-1D1C-4531-B81D-6DC86BAEEB35}"/>
  <bookViews>
    <workbookView xWindow="-8985" yWindow="-19350" windowWidth="38700" windowHeight="15345" xr2:uid="{00000000-000D-0000-FFFF-FFFF00000000}"/>
  </bookViews>
  <sheets>
    <sheet name="Assessment" sheetId="1" r:id="rId1"/>
    <sheet name="Resumen" sheetId="2" r:id="rId2"/>
    <sheet name="Heatmap" sheetId="3" r:id="rId3"/>
    <sheet name="Roadmap" sheetId="4" r:id="rId4"/>
    <sheet name="AI Overlay" sheetId="5" r:id="rId5"/>
    <sheet name="Guias scoring" sheetId="6" r:id="rId6"/>
    <sheet name="Instrucciones" sheetId="7" r:id="rId7"/>
  </sheets>
  <definedNames>
    <definedName name="_xlnm._FilterDatabase" localSheetId="4" hidden="1">'AI Overlay'!$A$1:$E$25</definedName>
    <definedName name="_xlnm._FilterDatabase" localSheetId="0" hidden="1">Assessment!$A$1:$T$25</definedName>
    <definedName name="_xlnm._FilterDatabase" localSheetId="2" hidden="1">Heatmap!$A$1:$I$25</definedName>
    <definedName name="_xlnm._FilterDatabase" localSheetId="1" hidden="1">Resumen!$A$1:$G$9</definedName>
    <definedName name="_xlnm._FilterDatabase" localSheetId="3" hidden="1">Roadmap!$A$1:$J$25</definedName>
  </definedName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5" i="4" l="1"/>
  <c r="E25" i="4"/>
  <c r="B25" i="4"/>
  <c r="A25" i="4"/>
  <c r="F24" i="4"/>
  <c r="E24" i="4"/>
  <c r="B24" i="4"/>
  <c r="A24" i="4"/>
  <c r="F23" i="4"/>
  <c r="E23" i="4"/>
  <c r="B23" i="4"/>
  <c r="A23" i="4"/>
  <c r="F22" i="4"/>
  <c r="E22" i="4"/>
  <c r="B22" i="4"/>
  <c r="A22" i="4"/>
  <c r="F21" i="4"/>
  <c r="E21" i="4"/>
  <c r="B21" i="4"/>
  <c r="A21" i="4"/>
  <c r="F20" i="4"/>
  <c r="E20" i="4"/>
  <c r="B20" i="4"/>
  <c r="A20" i="4"/>
  <c r="F19" i="4"/>
  <c r="E19" i="4"/>
  <c r="B19" i="4"/>
  <c r="A19" i="4"/>
  <c r="F18" i="4"/>
  <c r="E18" i="4"/>
  <c r="B18" i="4"/>
  <c r="A18" i="4"/>
  <c r="F17" i="4"/>
  <c r="E17" i="4"/>
  <c r="B17" i="4"/>
  <c r="A17" i="4"/>
  <c r="F16" i="4"/>
  <c r="E16" i="4"/>
  <c r="B16" i="4"/>
  <c r="A16" i="4"/>
  <c r="F15" i="4"/>
  <c r="E15" i="4"/>
  <c r="B15" i="4"/>
  <c r="A15" i="4"/>
  <c r="F14" i="4"/>
  <c r="E14" i="4"/>
  <c r="B14" i="4"/>
  <c r="A14" i="4"/>
  <c r="F13" i="4"/>
  <c r="E13" i="4"/>
  <c r="B13" i="4"/>
  <c r="A13" i="4"/>
  <c r="F12" i="4"/>
  <c r="E12" i="4"/>
  <c r="B12" i="4"/>
  <c r="A12" i="4"/>
  <c r="F11" i="4"/>
  <c r="E11" i="4"/>
  <c r="B11" i="4"/>
  <c r="A11" i="4"/>
  <c r="F10" i="4"/>
  <c r="E10" i="4"/>
  <c r="B10" i="4"/>
  <c r="A10" i="4"/>
  <c r="F9" i="4"/>
  <c r="E9" i="4"/>
  <c r="B9" i="4"/>
  <c r="A9" i="4"/>
  <c r="F8" i="4"/>
  <c r="E8" i="4"/>
  <c r="B8" i="4"/>
  <c r="A8" i="4"/>
  <c r="F7" i="4"/>
  <c r="E7" i="4"/>
  <c r="B7" i="4"/>
  <c r="A7" i="4"/>
  <c r="F6" i="4"/>
  <c r="E6" i="4"/>
  <c r="B6" i="4"/>
  <c r="A6" i="4"/>
  <c r="F5" i="4"/>
  <c r="E5" i="4"/>
  <c r="B5" i="4"/>
  <c r="A5" i="4"/>
  <c r="F4" i="4"/>
  <c r="E4" i="4"/>
  <c r="B4" i="4"/>
  <c r="A4" i="4"/>
  <c r="F3" i="4"/>
  <c r="E3" i="4"/>
  <c r="B3" i="4"/>
  <c r="A3" i="4"/>
  <c r="F2" i="4"/>
  <c r="E2" i="4"/>
  <c r="B2" i="4"/>
  <c r="A2" i="4"/>
  <c r="I25" i="3"/>
  <c r="E25" i="3"/>
  <c r="D25" i="3"/>
  <c r="C25" i="3"/>
  <c r="B25" i="3"/>
  <c r="A25" i="3"/>
  <c r="I24" i="3"/>
  <c r="E24" i="3"/>
  <c r="D24" i="3"/>
  <c r="C24" i="3"/>
  <c r="B24" i="3"/>
  <c r="A24" i="3"/>
  <c r="I23" i="3"/>
  <c r="E23" i="3"/>
  <c r="D23" i="3"/>
  <c r="C23" i="3"/>
  <c r="B23" i="3"/>
  <c r="A23" i="3"/>
  <c r="I22" i="3"/>
  <c r="E22" i="3"/>
  <c r="D22" i="3"/>
  <c r="C22" i="3"/>
  <c r="B22" i="3"/>
  <c r="A22" i="3"/>
  <c r="I21" i="3"/>
  <c r="E21" i="3"/>
  <c r="D21" i="3"/>
  <c r="C21" i="3"/>
  <c r="B21" i="3"/>
  <c r="A21" i="3"/>
  <c r="I20" i="3"/>
  <c r="E20" i="3"/>
  <c r="D20" i="3"/>
  <c r="C20" i="3"/>
  <c r="B20" i="3"/>
  <c r="A20" i="3"/>
  <c r="I19" i="3"/>
  <c r="E19" i="3"/>
  <c r="D19" i="3"/>
  <c r="C19" i="3"/>
  <c r="B19" i="3"/>
  <c r="A19" i="3"/>
  <c r="I18" i="3"/>
  <c r="E18" i="3"/>
  <c r="D18" i="3"/>
  <c r="C18" i="3"/>
  <c r="B18" i="3"/>
  <c r="A18" i="3"/>
  <c r="I17" i="3"/>
  <c r="E17" i="3"/>
  <c r="D17" i="3"/>
  <c r="C17" i="3"/>
  <c r="B17" i="3"/>
  <c r="A17" i="3"/>
  <c r="I16" i="3"/>
  <c r="E16" i="3"/>
  <c r="D16" i="3"/>
  <c r="C16" i="3"/>
  <c r="B16" i="3"/>
  <c r="A16" i="3"/>
  <c r="I15" i="3"/>
  <c r="E15" i="3"/>
  <c r="D15" i="3"/>
  <c r="C15" i="3"/>
  <c r="B15" i="3"/>
  <c r="A15" i="3"/>
  <c r="I14" i="3"/>
  <c r="E14" i="3"/>
  <c r="D14" i="3"/>
  <c r="C14" i="3"/>
  <c r="B14" i="3"/>
  <c r="A14" i="3"/>
  <c r="I13" i="3"/>
  <c r="E13" i="3"/>
  <c r="D13" i="3"/>
  <c r="C13" i="3"/>
  <c r="B13" i="3"/>
  <c r="A13" i="3"/>
  <c r="I12" i="3"/>
  <c r="E12" i="3"/>
  <c r="D12" i="3"/>
  <c r="C12" i="3"/>
  <c r="B12" i="3"/>
  <c r="A12" i="3"/>
  <c r="I11" i="3"/>
  <c r="E11" i="3"/>
  <c r="D11" i="3"/>
  <c r="C11" i="3"/>
  <c r="B11" i="3"/>
  <c r="A11" i="3"/>
  <c r="I10" i="3"/>
  <c r="E10" i="3"/>
  <c r="D10" i="3"/>
  <c r="C10" i="3"/>
  <c r="B10" i="3"/>
  <c r="A10" i="3"/>
  <c r="I9" i="3"/>
  <c r="E9" i="3"/>
  <c r="D9" i="3"/>
  <c r="C9" i="3"/>
  <c r="B9" i="3"/>
  <c r="A9" i="3"/>
  <c r="I8" i="3"/>
  <c r="E8" i="3"/>
  <c r="D8" i="3"/>
  <c r="C8" i="3"/>
  <c r="B8" i="3"/>
  <c r="A8" i="3"/>
  <c r="I7" i="3"/>
  <c r="E7" i="3"/>
  <c r="D7" i="3"/>
  <c r="C7" i="3"/>
  <c r="B7" i="3"/>
  <c r="A7" i="3"/>
  <c r="I6" i="3"/>
  <c r="E6" i="3"/>
  <c r="D6" i="3"/>
  <c r="C6" i="3"/>
  <c r="B6" i="3"/>
  <c r="A6" i="3"/>
  <c r="I5" i="3"/>
  <c r="E5" i="3"/>
  <c r="D5" i="3"/>
  <c r="C5" i="3"/>
  <c r="B5" i="3"/>
  <c r="A5" i="3"/>
  <c r="I4" i="3"/>
  <c r="E4" i="3"/>
  <c r="D4" i="3"/>
  <c r="C4" i="3"/>
  <c r="B4" i="3"/>
  <c r="A4" i="3"/>
  <c r="I3" i="3"/>
  <c r="E3" i="3"/>
  <c r="D3" i="3"/>
  <c r="C3" i="3"/>
  <c r="B3" i="3"/>
  <c r="A3" i="3"/>
  <c r="I2" i="3"/>
  <c r="E2" i="3"/>
  <c r="D2" i="3"/>
  <c r="C2" i="3"/>
  <c r="B2" i="3"/>
  <c r="A2" i="3"/>
  <c r="D7" i="2"/>
  <c r="C7" i="2"/>
  <c r="B7" i="2"/>
  <c r="D6" i="2"/>
  <c r="C6" i="2"/>
  <c r="B6" i="2"/>
  <c r="D5" i="2"/>
  <c r="C5" i="2"/>
  <c r="B5" i="2"/>
  <c r="D4" i="2"/>
  <c r="C4" i="2"/>
  <c r="B4" i="2"/>
  <c r="D3" i="2"/>
  <c r="C3" i="2"/>
  <c r="B3" i="2"/>
  <c r="D2" i="2"/>
  <c r="D9" i="2" s="1"/>
  <c r="C2" i="2"/>
  <c r="C9" i="2" s="1"/>
  <c r="B2" i="2"/>
  <c r="B9" i="2" s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F2" i="3" l="1"/>
  <c r="E2" i="2"/>
  <c r="P2" i="1"/>
  <c r="O2" i="1"/>
  <c r="N2" i="1"/>
  <c r="F3" i="3"/>
  <c r="P3" i="1"/>
  <c r="O3" i="1"/>
  <c r="N3" i="1"/>
  <c r="F4" i="3"/>
  <c r="P4" i="1"/>
  <c r="O4" i="1"/>
  <c r="N4" i="1"/>
  <c r="F5" i="3"/>
  <c r="P5" i="1"/>
  <c r="O5" i="1"/>
  <c r="N5" i="1"/>
  <c r="F6" i="3"/>
  <c r="E3" i="2"/>
  <c r="P6" i="1"/>
  <c r="O6" i="1"/>
  <c r="N6" i="1"/>
  <c r="F7" i="3"/>
  <c r="P7" i="1"/>
  <c r="O7" i="1"/>
  <c r="N7" i="1"/>
  <c r="F8" i="3"/>
  <c r="P8" i="1"/>
  <c r="O8" i="1"/>
  <c r="N8" i="1"/>
  <c r="F9" i="3"/>
  <c r="P9" i="1"/>
  <c r="O9" i="1"/>
  <c r="N9" i="1"/>
  <c r="F10" i="3"/>
  <c r="E4" i="2"/>
  <c r="P10" i="1"/>
  <c r="O10" i="1"/>
  <c r="N10" i="1"/>
  <c r="F11" i="3"/>
  <c r="P11" i="1"/>
  <c r="O11" i="1"/>
  <c r="N11" i="1"/>
  <c r="F12" i="3"/>
  <c r="P12" i="1"/>
  <c r="O12" i="1"/>
  <c r="N12" i="1"/>
  <c r="F13" i="3"/>
  <c r="P13" i="1"/>
  <c r="O13" i="1"/>
  <c r="N13" i="1"/>
  <c r="F14" i="3"/>
  <c r="E5" i="2"/>
  <c r="P14" i="1"/>
  <c r="O14" i="1"/>
  <c r="N14" i="1"/>
  <c r="F15" i="3"/>
  <c r="P15" i="1"/>
  <c r="O15" i="1"/>
  <c r="N15" i="1"/>
  <c r="F16" i="3"/>
  <c r="P16" i="1"/>
  <c r="O16" i="1"/>
  <c r="N16" i="1"/>
  <c r="F17" i="3"/>
  <c r="P17" i="1"/>
  <c r="O17" i="1"/>
  <c r="N17" i="1"/>
  <c r="F18" i="3"/>
  <c r="E6" i="2"/>
  <c r="P18" i="1"/>
  <c r="O18" i="1"/>
  <c r="N18" i="1"/>
  <c r="F19" i="3"/>
  <c r="P19" i="1"/>
  <c r="O19" i="1"/>
  <c r="N19" i="1"/>
  <c r="F20" i="3"/>
  <c r="P20" i="1"/>
  <c r="O20" i="1"/>
  <c r="N20" i="1"/>
  <c r="F21" i="3"/>
  <c r="P21" i="1"/>
  <c r="O21" i="1"/>
  <c r="N21" i="1"/>
  <c r="F22" i="3"/>
  <c r="E7" i="2"/>
  <c r="P22" i="1"/>
  <c r="O22" i="1"/>
  <c r="N22" i="1"/>
  <c r="F23" i="3"/>
  <c r="P23" i="1"/>
  <c r="O23" i="1"/>
  <c r="N23" i="1"/>
  <c r="F24" i="3"/>
  <c r="P24" i="1"/>
  <c r="O24" i="1"/>
  <c r="N24" i="1"/>
  <c r="F25" i="3"/>
  <c r="P25" i="1"/>
  <c r="O25" i="1"/>
  <c r="N25" i="1"/>
  <c r="C25" i="4" l="1"/>
  <c r="G25" i="3"/>
  <c r="D25" i="4"/>
  <c r="G25" i="4" s="1"/>
  <c r="H25" i="3"/>
  <c r="C24" i="4"/>
  <c r="G24" i="3"/>
  <c r="D24" i="4"/>
  <c r="G24" i="4" s="1"/>
  <c r="H24" i="3"/>
  <c r="C23" i="4"/>
  <c r="G23" i="3"/>
  <c r="D23" i="4"/>
  <c r="G23" i="4" s="1"/>
  <c r="H23" i="3"/>
  <c r="C22" i="4"/>
  <c r="G22" i="3"/>
  <c r="D22" i="4"/>
  <c r="G22" i="4" s="1"/>
  <c r="H22" i="3"/>
  <c r="G7" i="2"/>
  <c r="F7" i="2"/>
  <c r="C21" i="4"/>
  <c r="G21" i="3"/>
  <c r="D21" i="4"/>
  <c r="G21" i="4" s="1"/>
  <c r="H21" i="3"/>
  <c r="C20" i="4"/>
  <c r="G20" i="3"/>
  <c r="D20" i="4"/>
  <c r="G20" i="4" s="1"/>
  <c r="H20" i="3"/>
  <c r="C19" i="4"/>
  <c r="G19" i="3"/>
  <c r="D19" i="4"/>
  <c r="G19" i="4" s="1"/>
  <c r="H19" i="3"/>
  <c r="C18" i="4"/>
  <c r="G18" i="3"/>
  <c r="D18" i="4"/>
  <c r="G18" i="4" s="1"/>
  <c r="H18" i="3"/>
  <c r="G6" i="2"/>
  <c r="F6" i="2"/>
  <c r="C17" i="4"/>
  <c r="G17" i="3"/>
  <c r="D17" i="4"/>
  <c r="G17" i="4" s="1"/>
  <c r="H17" i="3"/>
  <c r="C16" i="4"/>
  <c r="G16" i="3"/>
  <c r="D16" i="4"/>
  <c r="G16" i="4" s="1"/>
  <c r="H16" i="3"/>
  <c r="C15" i="4"/>
  <c r="G15" i="3"/>
  <c r="D15" i="4"/>
  <c r="G15" i="4" s="1"/>
  <c r="H15" i="3"/>
  <c r="C14" i="4"/>
  <c r="G14" i="3"/>
  <c r="D14" i="4"/>
  <c r="G14" i="4" s="1"/>
  <c r="H14" i="3"/>
  <c r="G5" i="2"/>
  <c r="F5" i="2"/>
  <c r="C13" i="4"/>
  <c r="G13" i="3"/>
  <c r="D13" i="4"/>
  <c r="G13" i="4" s="1"/>
  <c r="H13" i="3"/>
  <c r="C12" i="4"/>
  <c r="G12" i="3"/>
  <c r="D12" i="4"/>
  <c r="G12" i="4" s="1"/>
  <c r="H12" i="3"/>
  <c r="C11" i="4"/>
  <c r="G11" i="3"/>
  <c r="D11" i="4"/>
  <c r="G11" i="4" s="1"/>
  <c r="H11" i="3"/>
  <c r="C10" i="4"/>
  <c r="G10" i="3"/>
  <c r="D10" i="4"/>
  <c r="G10" i="4" s="1"/>
  <c r="H10" i="3"/>
  <c r="G4" i="2"/>
  <c r="F4" i="2"/>
  <c r="C9" i="4"/>
  <c r="G9" i="3"/>
  <c r="D9" i="4"/>
  <c r="G9" i="4" s="1"/>
  <c r="H9" i="3"/>
  <c r="C8" i="4"/>
  <c r="G8" i="3"/>
  <c r="D8" i="4"/>
  <c r="G8" i="4" s="1"/>
  <c r="H8" i="3"/>
  <c r="C7" i="4"/>
  <c r="G7" i="3"/>
  <c r="D7" i="4"/>
  <c r="G7" i="4" s="1"/>
  <c r="H7" i="3"/>
  <c r="C6" i="4"/>
  <c r="G6" i="3"/>
  <c r="D6" i="4"/>
  <c r="G6" i="4" s="1"/>
  <c r="H6" i="3"/>
  <c r="G3" i="2"/>
  <c r="F3" i="2"/>
  <c r="C5" i="4"/>
  <c r="G5" i="3"/>
  <c r="D5" i="4"/>
  <c r="G5" i="4" s="1"/>
  <c r="H5" i="3"/>
  <c r="C4" i="4"/>
  <c r="G4" i="3"/>
  <c r="D4" i="4"/>
  <c r="G4" i="4" s="1"/>
  <c r="H4" i="3"/>
  <c r="C3" i="4"/>
  <c r="G3" i="3"/>
  <c r="D3" i="4"/>
  <c r="G3" i="4" s="1"/>
  <c r="H3" i="3"/>
  <c r="C2" i="4"/>
  <c r="G2" i="3"/>
  <c r="D2" i="4"/>
  <c r="G2" i="4" s="1"/>
  <c r="H2" i="3"/>
  <c r="E9" i="2"/>
  <c r="G9" i="2" s="1"/>
  <c r="G2" i="2"/>
  <c r="F2" i="2"/>
  <c r="F9" i="2" s="1"/>
</calcChain>
</file>

<file path=xl/sharedStrings.xml><?xml version="1.0" encoding="utf-8"?>
<sst xmlns="http://schemas.openxmlformats.org/spreadsheetml/2006/main" count="523" uniqueCount="371">
  <si>
    <t>Capacidad</t>
  </si>
  <si>
    <t>Subcapacidad</t>
  </si>
  <si>
    <t>Objetivo de evaluación</t>
  </si>
  <si>
    <t>Nivel 1 - Inicial</t>
  </si>
  <si>
    <t>Nivel 2 - Estructurado</t>
  </si>
  <si>
    <t>Nivel 3 - Estandarizado</t>
  </si>
  <si>
    <t>Nivel 4 - Optimizado</t>
  </si>
  <si>
    <t>Nivel 5 - Avanzado/Referente</t>
  </si>
  <si>
    <t>Casos de uso AI asociados</t>
  </si>
  <si>
    <t>Score Procesos</t>
  </si>
  <si>
    <t>Score Tecnología</t>
  </si>
  <si>
    <t>Score Organización</t>
  </si>
  <si>
    <t>Score Medio</t>
  </si>
  <si>
    <t>Nivel resultante</t>
  </si>
  <si>
    <t>Gap vs objetivo</t>
  </si>
  <si>
    <t>Prioridad</t>
  </si>
  <si>
    <t>Preguntas clave</t>
  </si>
  <si>
    <t>Evidencias</t>
  </si>
  <si>
    <t>Iniciativa sugerida</t>
  </si>
  <si>
    <t>Comentarios / hallazgos</t>
  </si>
  <si>
    <t>Cierre</t>
  </si>
  <si>
    <t>1.1 Gobierno y calendario de cierre</t>
  </si>
  <si>
    <t>Evaluar si el cierre financiero está formalmente gobernado, calendarizado y coordinado entre áreas.</t>
  </si>
  <si>
    <t>Cierre ad hoc, dependiente de personas clave, con calendario informal y poca trazabilidad.</t>
  </si>
  <si>
    <t>Calendario básico de cierre y responsables identificados, aunque con variabilidad entre sociedades/áreas.</t>
  </si>
  <si>
    <t>Calendario de cierre corporativo, roles, hitos, entregables y controles documentados.</t>
  </si>
  <si>
    <t>Cierre integrado, medido por KPIs, con dependencias controladas y mejora continua de plazos/calidad.</t>
  </si>
  <si>
    <t>Modelo de cierre rápido y continuo con checklist inteligente, alertas de dependencias y automatización del seguimiento de tareas.</t>
  </si>
  <si>
    <t>Listas de verificación de cierre automatizadas; cierre sin intervención; recomendaciones proactivas para la resolución de incidencias</t>
  </si>
  <si>
    <t>¿Existe un calendario formal de cierre?
¿Se controlan dependencias entre áreas?
¿Hay owners por hito?
¿Se monitorizan KPIs de cierre?</t>
  </si>
  <si>
    <t>Calendario de cierre; RACI; checklist; actas de cierre; KPIs de días de cierre; evidencias de aprobaciones.</t>
  </si>
  <si>
    <t>Implantar gobierno de cierre con calendario, RACI, lista de verificación digital, KPIs y seguimiento de dependencias.</t>
  </si>
  <si>
    <t>1.2 Automatización de asientos, accruals y ajustes</t>
  </si>
  <si>
    <t>Evaluar el grado de automatización, control y trazabilidad de asientos, accruals y ajustes de cierre.</t>
  </si>
  <si>
    <t>Asientos y ajustes manuales, con criterios variables y alta dependencia de Excel.</t>
  </si>
  <si>
    <t>Plantillas y controles básicos para ciertos asientos recurrentes, con revisión manual.</t>
  </si>
  <si>
    <t>Asientos recurrentes y accruals definidos, documentados y parcialmente automatizados.</t>
  </si>
  <si>
    <t>Automatización integrada de asientos recurrentes, accruals y validaciones, con trazabilidad y control de excepciones.</t>
  </si>
  <si>
    <t>Identificación predictiva de devengos esperados, detección de omisiones y propuestas de asiento/ajuste con circuito de aprobación.</t>
  </si>
  <si>
    <t>Identificación de provisiones mensuales omitidas; Automatización de asientos contables y predicción del valor de cierre; monitorización de asientos sospechosos</t>
  </si>
  <si>
    <t>¿Qué asientos son manuales vs automáticos?
¿Se detectan accruals faltantes?
¿Hay trazabilidad de ajustes?
¿Se revisan excepciones?</t>
  </si>
  <si>
    <t>Listado de asientos recurrentes; plantillas de accruals; logs de automatización; conciliación de ajustes; workflow de aprobación.</t>
  </si>
  <si>
    <t>Crear modelo de automatización de asientos y periodificaciones con reglas, históricos, validaciones y alertas de omisión.</t>
  </si>
  <si>
    <t>1.3 Control de calidad y anomalías del cierre</t>
  </si>
  <si>
    <t>Evaluar si el cierre incorpora controles preventivos, detección de anomalías y revisiones basadas en riesgo.</t>
  </si>
  <si>
    <t>Controles manuales, ex post y con cobertura limitada.</t>
  </si>
  <si>
    <t>Controles definidos para áreas críticas, pero con ejecución manual y baja priorización por riesgo.</t>
  </si>
  <si>
    <t>Controles de cierre estandarizados, documentados y ejecutados recurrentemente.</t>
  </si>
  <si>
    <t>Controles automatizados, con alertas, umbrales y priorización de revisiones por materialidad/riesgo.</t>
  </si>
  <si>
    <t>Detección IA de asientos inusuales o sospechosos durante el cierre, con puntuación de anomalía, explicación y flujo de trabajo de investigación.</t>
  </si>
  <si>
    <t>Identificación de asientos inusuales durante el periodo de cierre; monitorización en tiempo real de asientos sospechosos</t>
  </si>
  <si>
    <t>¿Existen controles preventivos?
¿Se detectan anomalías durante el cierre?
¿Se priorizan revisiones por riesgo?
¿Hay evidencia de control?</t>
  </si>
  <si>
    <t>Matriz de controles; logs de excepción; evidencias de revisión; reportes de anomalías; auditoría de cambios.</t>
  </si>
  <si>
    <t>Implantar monitor de anomalías de cierre con reglas, modelos de detección, puntuación de riesgo y flujo de revisión.</t>
  </si>
  <si>
    <t>1.4 Eficiencia, coordinación y mejora continua del cierre</t>
  </si>
  <si>
    <t>Evaluar la eficiencia del proceso de cierre y su capacidad de mejora continua.</t>
  </si>
  <si>
    <t>Proceso largo, con reprocesos frecuentes y baja visibilidad del avance.</t>
  </si>
  <si>
    <t>Seguimiento básico del avance, con coordinación manual entre equipos.</t>
  </si>
  <si>
    <t>KPIs de cierre definidos y reporting periódico de avance, incidencias y retrasos.</t>
  </si>
  <si>
    <t>Análisis causa-raíz de retrasos, acciones de mejora, reducción de reprocesos y automatización progresiva.</t>
  </si>
  <si>
    <t>Cierre basado en minería de procesos y IA para detectar cuellos de botella, excepciones recurrentes y oportunidades de cierre sin intervención.</t>
  </si>
  <si>
    <t>Captura de variaciones y excepciones en P2P/O2C que habilita el cierre sin intervención; Minería de procesos con IA</t>
  </si>
  <si>
    <t>¿Se mide la duración del cierre?
¿Se identifican cuellos de botella?
¿Se analizan causas raíz?
¿Se ejecutan planes de mejora?</t>
  </si>
  <si>
    <t>KPIs de cierre; backlog de incidencias; planes de mejora; análisis causa-raíz; métricas de retrabajo.</t>
  </si>
  <si>
    <t>Crear programa de mejora continua del cierre con KPIs, minería de procesos, análisis de excepciones y hoja de ruta de automatización.</t>
  </si>
  <si>
    <t>Consolidación</t>
  </si>
  <si>
    <t>2.1 Modelo de consolidación y perímetro</t>
  </si>
  <si>
    <t>Evaluar si el perímetro, estructura y modelo de consolidación están definidos, gobernados y trazables.</t>
  </si>
  <si>
    <t>Perímetro y estructuras gestionados manualmente, con criterios no homogéneos.</t>
  </si>
  <si>
    <t>Perímetro definido, pero con actualizaciones manuales y dependencias locales.</t>
  </si>
  <si>
    <t>Modelo de consolidación documentado, con jerarquías, perímetro, moneda y ownership definidos.</t>
  </si>
  <si>
    <t>Modelo integrado con gobierno de cambios, trazabilidad de perímetro y reglas homogéneas por entidad/grupo.</t>
  </si>
  <si>
    <t>Modelo de consolidación inteligente capaz de detectar inconsistencias de estructura, cambios de perímetro y riesgos de calidad de dato.</t>
  </si>
  <si>
    <t>Identificación de inconsistencias en los registros de datos maestros; flujos guiados para cambios en datos maestros</t>
  </si>
  <si>
    <t>¿Existe perímetro formal?
¿Las jerarquías están gobernadas?
¿Se trazan cambios?
¿Hay owners por entidad?</t>
  </si>
  <si>
    <t>Perímetro; jerarquías; manual de consolidación; logs de cambios; matriz de ownership.</t>
  </si>
  <si>
    <t>Formalizar gobierno de perímetro y jerarquías con flujo de cambios, validaciones y trazabilidad.</t>
  </si>
  <si>
    <t>2.2 Eliminaciones, ajustes y reglas de consolidación</t>
  </si>
  <si>
    <t>Evaluar la definición, automatización y control de eliminaciones, ajustes y reglas de consolidación.</t>
  </si>
  <si>
    <t>Eliminaciones y ajustes manuales, con documentación limitada.</t>
  </si>
  <si>
    <t>Reglas básicas definidas, con ejecución parcialmente manual y revisiones ex post.</t>
  </si>
  <si>
    <t>Reglas de consolidación documentadas y aplicadas de forma consistente.</t>
  </si>
  <si>
    <t>Reglas automatizadas, trazables y controladas, con validaciones y gestión de excepciones.</t>
  </si>
  <si>
    <t>Automatización avanzada de consolidación multiestándar/multimoneda, con recomendaciones sobre ajustes, validación IA y alertas de inconsistencia.</t>
  </si>
  <si>
    <t>Consolidación de registros contables bajo distintas normas y divisas</t>
  </si>
  <si>
    <t>¿Las reglas están documentadas?
¿Qué ajustes son manuales?
¿Se trazan eliminaciones?
¿Se validan excepciones?</t>
  </si>
  <si>
    <t>Manual de consolidación; reglas en herramienta; logs de ajustes; reportes de eliminaciones; conciliaciones.</t>
  </si>
  <si>
    <t>Automatizar reglas de eliminación y ajustes con trazabilidad, validaciones y controles de excepción.</t>
  </si>
  <si>
    <t>2.3 Integración multifuente y calidad del dato consolidado</t>
  </si>
  <si>
    <t>Evaluar si los datos de consolidación se integran desde fuentes fiables y con controles de calidad.</t>
  </si>
  <si>
    <t>Carga manual de datos y alta dependencia de ficheros locales.</t>
  </si>
  <si>
    <t>Integraciones parciales con validaciones básicas.</t>
  </si>
  <si>
    <t>Modelo de datos consolidado con fuentes definidas, controles y reglas de carga documentadas.</t>
  </si>
  <si>
    <t>Integración automatizada con validaciones, reconciliaciones y gestión estructurada de incidencias.</t>
  </si>
  <si>
    <t>Automatización de datos financieros multifuente y detección IA de inconsistencias en datos maestros/financieros antes de consolidar.</t>
  </si>
  <si>
    <t>Automatización de datos financieros de fuentes diversas; identificación de inconsistencias en los registros de datos maestros</t>
  </si>
  <si>
    <t>¿Las cargas son automáticas?
¿Hay controles de calidad?
¿Se gestionan incidencias?
¿Existe single source of truth?</t>
  </si>
  <si>
    <t>Modelo de datos; logs de carga; reportes de errores; controles de calidad; reconciliaciones.</t>
  </si>
  <si>
    <t>Implantar capa de integración y calidad de dato para consolidación con validaciones automáticas y gestión de incidencias.</t>
  </si>
  <si>
    <t>2.4 Reporting consolidado y revisión ejecutiva</t>
  </si>
  <si>
    <t>Evaluar si la consolidación produce información fiable, oportuna y explicable para reporting y dirección.</t>
  </si>
  <si>
    <t>Reporting consolidado tardío, manual y orientado solo a cumplimiento.</t>
  </si>
  <si>
    <t>Reporting recurrente con revisión manual y explicaciones limitadas.</t>
  </si>
  <si>
    <t>Reporting consolidado estructurado, conciliado y con comentarios básicos.</t>
  </si>
  <si>
    <t>Reporting automatizado con análisis de variaciones, explicaciones, revisiones y controles de consistencia.</t>
  </si>
  <si>
    <t>Generación automática de informes consolidados, narrativas y explicaciones de variaciones con GenAI, con revisión humana y controles de cumplimiento.</t>
  </si>
  <si>
    <t>Consolidación de informes financieros redactados; generación de análisis de desviaciones de cuentas con explicaciones inteligentes</t>
  </si>
  <si>
    <t>¿El reporting consolidado llega a tiempo?
¿Incluye análisis de variaciones?
¿Se revisa con dirección?
¿Está automatizado?</t>
  </si>
  <si>
    <t>Pack de reporting; estados consolidados; análisis de variaciones; actas de revisión; evidencias de control.</t>
  </si>
  <si>
    <t>Desarrollar informes consolidados automatizados con comentario narrativo, explicación de variaciones y control de consistencia.</t>
  </si>
  <si>
    <t>Informes externos</t>
  </si>
  <si>
    <t>3.1 Preparación de estados financieros</t>
  </si>
  <si>
    <t>Evaluar si la preparación de estados financieros externos está estandarizada, controlada y automatizada.</t>
  </si>
  <si>
    <t>Preparación manual, con múltiples fuentes y alto esfuerzo de revisión.</t>
  </si>
  <si>
    <t>Plantillas recurrentes y controles básicos, pero con manipulación manual significativa.</t>
  </si>
  <si>
    <t>Proceso documentado con fuentes, responsables, calendario, revisiones y controles definidos.</t>
  </si>
  <si>
    <t>Preparación integrada y automatizada con trazabilidad desde dato origen y controles de consistencia.</t>
  </si>
  <si>
    <t>Preparación automatizada de los estados financieros, con generación asistida de notas y secciones y validación de consistencia antes de la revisión.</t>
  </si>
  <si>
    <t>Preparación automatizada de estados financieros</t>
  </si>
  <si>
    <t>¿Se preparan estados desde fuente única?
¿Hay trazabilidad?
¿Qué partes son manuales?
¿Existen controles de consistencia?</t>
  </si>
  <si>
    <t>Estados financieros; plantillas; calendario; evidencias de revisión; trazabilidad fuente-dato; controles.</t>
  </si>
  <si>
    <t>Automatizar preparación de estados financieros y notas con trazabilidad, reglas de validación y revisión formal.</t>
  </si>
  <si>
    <t>3.2 Reporting regulatorio y filings</t>
  </si>
  <si>
    <t>Evaluar el grado de control, cumplimiento y automatización del reporting regulatorio y filings externos.</t>
  </si>
  <si>
    <t>Reporting regulatorio manual, reactivo y con alta dependencia de expertos.</t>
  </si>
  <si>
    <t>Proceso definido para filings clave, con revisiones manuales y documentación parcial.</t>
  </si>
  <si>
    <t>Calendario regulatorio, owners, controles y evidencias definidos para filings recurrentes.</t>
  </si>
  <si>
    <t>Proceso integrado con datos financieros y regulatorios, controles automáticos y gestión de cambios normativos.</t>
  </si>
  <si>
    <t>Generación GenAI de borradores de informes regulatorios con interpretación normativa, trazabilidad y revisión humana.</t>
  </si>
  <si>
    <t>Generación de borradores de informes regulatorios; borradores de secciones de 10Q/10K; interpretación de normas y regulación financiera</t>
  </si>
  <si>
    <t>¿Existe calendario regulatorio?
¿Quién revisa y aprueba?
¿Se trazan fuentes?
¿Se monitorizan cambios regulatorios?</t>
  </si>
  <si>
    <t>Calendario regulatorio; filings; matriz de requisitos; evidencias de revisión; control de fuentes.</t>
  </si>
  <si>
    <t>Implantar flujo de presentaciones a reguladores con generación asistida, validaciones, trazabilidad y seguimiento de cambios normativos.</t>
  </si>
  <si>
    <t>3.3 Narrative reporting y envío ESEF</t>
  </si>
  <si>
    <t>Evaluar si la narrativa financiera externa es consistente, trazable y conectada con los resultados.</t>
  </si>
  <si>
    <t>Narrativa manual, poco estructurada y dependiente de iteraciones entre equipos.</t>
  </si>
  <si>
    <t>Narrativa recurrente con plantillas, pero con variabilidad y bajo soporte analítico.</t>
  </si>
  <si>
    <t>Proceso estructurado de narrativa con mensajes clave, drivers, variaciones y revisión formal.</t>
  </si>
  <si>
    <t>Narrativa integrada con datos, análisis de variaciones, riesgos y workflow de revisión.</t>
  </si>
  <si>
    <t>Generación de borrador de informes financieros por medio de GenAI, manteniendo evidencia, controles de consistencia de la información, habilitando al mismo tiempo la revisión humana y el control de cambios.</t>
  </si>
  <si>
    <t>Generación del borrador narrativo del MD&amp;A; consolidación de informes financieros en un único informe conforme a normativa</t>
  </si>
  <si>
    <t>¿La narrativa está soportada por datos?
¿Se explican drivers?
¿Hay control de versiones?
¿Se revisa compliance?</t>
  </si>
  <si>
    <t>MD&amp;A; informes externos; versiones; comentarios de revisión; análisis de variaciones; evidencias de soporte.</t>
  </si>
  <si>
    <t>Crear generador asistido de narrativa financiera con drivers, variaciones, riesgos, versiones y controles.</t>
  </si>
  <si>
    <t>3.4 Gobierno, control y auditoría del reporting externo</t>
  </si>
  <si>
    <t>Evaluar el gobierno, evidencias, controles y trazabilidad del reporting externo.</t>
  </si>
  <si>
    <t>Controles dispersos, baja trazabilidad y evidencia manual.</t>
  </si>
  <si>
    <t>Controles clave definidos, pero con ejecución y documentación manual.</t>
  </si>
  <si>
    <t>Modelo de control documentado con owners, evidencias y revisiones recurrentes.</t>
  </si>
  <si>
    <t>Controles integrados con workflow, trazabilidad de cambios, revisión y gestión de incidencias.</t>
  </si>
  <si>
    <t>Modelo basado en IA de revisión de consistencia, detección de anomalías en cifras/narrativas y alertas de cumplimiento en los informes externos.</t>
  </si>
  <si>
    <t>Interpretación de normas financieras; consolidación automatizada de informes; detección de anomalías durante el cierre</t>
  </si>
  <si>
    <t>¿Existe matriz de control?
¿Se guardan evidencias?
¿Se trazan cambios?
¿Se detectan inconsistencias?</t>
  </si>
  <si>
    <t>Matriz de control; evidencias; auditoría de cambios; checklists; incidencias; aprobaciones.</t>
  </si>
  <si>
    <t>Implantar gobierno digital de la información externa con evidencias, flujo de revisión y detección de inconsistencias.</t>
  </si>
  <si>
    <t>Análisis financiero</t>
  </si>
  <si>
    <t>4.1 Modelo de análisis de variaciones</t>
  </si>
  <si>
    <t>Evaluar si el análisis financiero explica variaciones de forma estructurada, por drivers y dimensions.</t>
  </si>
  <si>
    <t>Análisis descriptivo y manual, centrado en variaciones agregadas.</t>
  </si>
  <si>
    <t>Explicaciones recurrentes para partidas relevantes, con criterios no homogéneos.</t>
  </si>
  <si>
    <t>Metodología común de variance analysis por cuenta, entidad, negocio, driver y periodo.</t>
  </si>
  <si>
    <t>Análisis integrado con datos, drivers, acciones y conexión con reporting/forecast.</t>
  </si>
  <si>
    <t>Generación automática del análisis de desviaciones por cuenta y de su explicación con GenAI, incluyendo drivers, causas y narrativa ejecutiva.</t>
  </si>
  <si>
    <t>Generación de análisis de desviaciones de cuentas con explicaciones inteligentes</t>
  </si>
  <si>
    <t>¿Existe metodología de variance analysis?
¿Se analizan drivers?
¿Se documentan causas?
¿Se conectan acciones?</t>
  </si>
  <si>
    <t>Reportes de variaciones; árboles de drivers; comentarios; actas; acciones; dashboards.</t>
  </si>
  <si>
    <t>Crear modelo estándar de análisis de desviaciones con drivers, explicaciones, responsables y acciones.</t>
  </si>
  <si>
    <t>4.2 Calidad, clasificación y consistencia de datos financieros</t>
  </si>
  <si>
    <t>Evaluar la calidad del dato financiero utilizado en análisis, reporting y cierre.</t>
  </si>
  <si>
    <t>Datos inconsistentes, correcciones manuales y bajo gobierno de maestros.</t>
  </si>
  <si>
    <t>Validaciones básicas y correcciones recurrentes, pero baja trazabilidad.</t>
  </si>
  <si>
    <t>Reglas de calidad y clasificación documentadas para datos financieros clave.</t>
  </si>
  <si>
    <t>Validaciones automatizadas, gobierno de datos maestros y gestión estructurada de incidencias.</t>
  </si>
  <si>
    <t>Detección IA de inconsistencias en datos maestros, errores de clasificación de gastos y documentación automática de metadatos.</t>
  </si>
  <si>
    <t>Identificación de inconsistencias en los datos maestros; identificación de errores de clasificación de gastos; generación de documentación de metadatos</t>
  </si>
  <si>
    <t>¿Hay reglas de calidad de dato?
¿Se detectan errores de clasificación?
¿Se gobiernan maestros?
¿Existe metadata?</t>
  </si>
  <si>
    <t>Catálogo de datos; reglas de calidad; incidencias; maestros; documentación de metadata; logs de corrección.</t>
  </si>
  <si>
    <t>Implementar control de calidad y clasificación financiera con detección de anomalías, metadatos y flujos de corrección.</t>
  </si>
  <si>
    <t>4.3 Insight financiero y explicación de performance</t>
  </si>
  <si>
    <t>Evaluar si el análisis financiero genera insights ejecutivos, accionables y conectados con performance.</t>
  </si>
  <si>
    <t>Análisis limitado a explicar el pasado, sin recomendaciones claras.</t>
  </si>
  <si>
    <t>Insights puntuales, dependientes de analistas y no siempre accionables.</t>
  </si>
  <si>
    <t>Análisis estructurado con mensajes clave, drivers, riesgos y oportunidades.</t>
  </si>
  <si>
    <t>Insights recurrentes, priorizados y conectados con decisiones, acciones y forecast.</t>
  </si>
  <si>
    <t>Analista digital sobre la plataforma FinanceAI Insights Platform, con análisis bajo demanda, investigación y primeras conclusiones a partir de múltiples fuentes.</t>
  </si>
  <si>
    <t>FinanceAI Insights Platform; Analítica bajo demanda con Digital Analyst</t>
  </si>
  <si>
    <t>¿El análisis genera insights?
¿Se priorizan mensajes?
¿Se incluyen riesgos/oportunidades?
¿Se usa para decidir?</t>
  </si>
  <si>
    <t>Packs ejecutivos; dashboards; one-pagers; recomendaciones; comités de performance; decisiones documentadas.</t>
  </si>
  <si>
    <t>Desarrollar capa de análisis financiero con narrativa, drivers, recomendaciones y conexión con decisiones.</t>
  </si>
  <si>
    <t>4.4 Análisis predictivo y detección temprana</t>
  </si>
  <si>
    <t>Evaluar si el análisis financiero anticipa desviaciones, riesgos y oportunidades mediante modelos predictivos.</t>
  </si>
  <si>
    <t>Análisis exclusivamente histórico y reactivo.</t>
  </si>
  <si>
    <t>Proyecciones manuales o análisis ad hoc en situaciones concretas.</t>
  </si>
  <si>
    <t>Modelos de tendencia básicos con supuestos documentados.</t>
  </si>
  <si>
    <t>Modelos predictivos recurrentes para anticipar desviaciones y oportunidades.</t>
  </si>
  <si>
    <t>La IA identifica patrones históricos para predecir el rendimiento futuro, detectar desviaciones tempranas y recomendar acciones.</t>
  </si>
  <si>
    <t>Identificación de patrones históricos para predecir y mejorar el rendimiento financiero futuro</t>
  </si>
  <si>
    <t>¿Se anticipan desviaciones?
¿Se usan modelos predictivos?
¿Hay alertas tempranas?
¿Se recomiendan acciones?</t>
  </si>
  <si>
    <t>Modelos predictivos; dashboards de alertas; backtesting; supuestos; acciones derivadas.</t>
  </si>
  <si>
    <t>Implantar modelos predictivos de rendimiento, desviaciones y oportunidades con alertas y recomendaciones.</t>
  </si>
  <si>
    <t>Informes internos</t>
  </si>
  <si>
    <t>5.1 Modelo de reporting interno</t>
  </si>
  <si>
    <t>Evaluar si el reporting interno es homogéneo, útil y alineado con necesidades de gestión.</t>
  </si>
  <si>
    <t>Informes dispersos, manuales y con formatos inconsistentes.</t>
  </si>
  <si>
    <t>Reporting recurrente para algunas áreas, con criterios y formatos variables.</t>
  </si>
  <si>
    <t>Modelo de reporting interno definido con KPIs, dimensiones, periodicidad y owners.</t>
  </si>
  <si>
    <t>Reporting integrado, automatizado y con drill-down, análisis de variaciones y acciones.</t>
  </si>
  <si>
    <t>Informes internos con generación automática del comentario, de las conclusiones y de la narrativa, a partir de múltiples fuentes financieras.</t>
  </si>
  <si>
    <t>informes de gestión con real/plan/desviación y comentario; automatización de datos financieros de fuentes diversas</t>
  </si>
  <si>
    <t>¿Existe catálogo de informes?
¿Los KPIs están definidos?
¿Se automatiza?
¿Incluye análisis y comentarios?</t>
  </si>
  <si>
    <t>Catálogo de reporting; KPIs; dashboards; periodicidad; owners; evidencias de automatización.</t>
  </si>
  <si>
    <t>Rediseñar los informes internos con KPIs homologados, automatización, comentario narrativo y navegación al detalle.</t>
  </si>
  <si>
    <t>5.2 Integración de datos y single source of truth</t>
  </si>
  <si>
    <t>Evaluar si el reporting interno se alimenta de fuentes integradas, controladas y confiables.</t>
  </si>
  <si>
    <t>Informes alimentados manualmente desde múltiples fuentes y ficheros.</t>
  </si>
  <si>
    <t>Integraciones parciales y conciliaciones manuales recurrentes.</t>
  </si>
  <si>
    <t>Fuentes oficiales definidas, modelo de datos documentado y controles de carga.</t>
  </si>
  <si>
    <t>Single source of truth con integración automática, modelo semántico y control de calidad.</t>
  </si>
  <si>
    <t>Capa de IA y automatización para integrar datos financieros de fuentes diversas, detectar inconsistencias y habilitar los informes en autoservicio.</t>
  </si>
  <si>
    <t>Automatización de datos financieros de fuentes diversas; identificación de inconsistencias en los datos maestros</t>
  </si>
  <si>
    <t>¿Existe fuente oficial?
¿Se integran datos automáticamente?
¿Hay modelo semántico?
¿Se detectan inconsistencias?</t>
  </si>
  <si>
    <t>Modelo de datos; fuentes oficiales; logs de carga; definición de KPIs; validaciones; controles de calidad.</t>
  </si>
  <si>
    <t>Implantar capa de datos financieros para informes internos con integración, calidad y gobierno de definiciones.</t>
  </si>
  <si>
    <t>5.3 Narrativa de gestión y autoservicio</t>
  </si>
  <si>
    <t>Evaluar si los usuarios pueden consumir información interna con narrativa clara y autoservicio gobernado.</t>
  </si>
  <si>
    <t>Reportes estáticos distribuidos por Finanzas, con baja interacción del usuario.</t>
  </si>
  <si>
    <t>Dashboards parciales y consultas ad hoc gestionadas por analistas.</t>
  </si>
  <si>
    <t>Dashboards corporativos por rol, con KPIs comunes y acceso controlado.</t>
  </si>
  <si>
    <t>Autoservicio gobernado con drill-down, narrativa, flujos de aprobación y control de acceso.</t>
  </si>
  <si>
    <t>Consulta conversacional de los datos de Finanzas con el analista digital, para preguntar en lenguaje natural y obtener la explicación automática de los resultados.</t>
  </si>
  <si>
    <t>Conversación con los datos de Finanzas; FinanceAI Insights Platform</t>
  </si>
  <si>
    <t>¿Existe autoservicio?
¿Está gobernado?
¿Los usuarios entienden la narrativa?
¿Se controlan accesos?</t>
  </si>
  <si>
    <t>Dashboards; permisos; modelo semántico; guías de uso; logs de consulta; feedback de usuarios.</t>
  </si>
  <si>
    <t>Habilitar autoservicio financiero gobernado con capa conversacional, narrativa y trazabilidad de definiciones.</t>
  </si>
  <si>
    <t>5.4 Rutinas de revisión y acciones de gestión</t>
  </si>
  <si>
    <t>Evaluar si el reporting interno se usa en rutinas de gestión con decisiones, acciones y seguimiento.</t>
  </si>
  <si>
    <t>El reporting se distribuye, pero no genera rutinas o acciones formales.</t>
  </si>
  <si>
    <t>Existen reuniones de revisión con decisiones poco trazables.</t>
  </si>
  <si>
    <t>Rutinas de reporting con agenda, KPIs, responsables y actas.</t>
  </si>
  <si>
    <t>Reporting conectado con acciones, owners, beneficios esperados y seguimiento.</t>
  </si>
  <si>
    <t>IA genera recomendaciones de acciones, identifica riesgos/oportunidades y prepara informes ejecutivos con decisiones sugeridas.</t>
  </si>
  <si>
    <t>Digital analyst; recomendaciones a nivel de proyecto; visión ejecutiva de la salud financiera</t>
  </si>
  <si>
    <t>¿Hay comités de revisión?
¿Se documentan decisiones?
¿Se asignan acciones?
¿Se mide impacto?</t>
  </si>
  <si>
    <t>Actas; trackers de acciones; KPIs de impacto; packs de reporting; decisiones documentadas.</t>
  </si>
  <si>
    <t>Formalizar rutinas de informes internos con decisiones, acciones, responsables, seguimiento y conclusiones automatizadas.</t>
  </si>
  <si>
    <t>Conciliación intercompany</t>
  </si>
  <si>
    <t>6.1 Gobierno y calendario de conciliación</t>
  </si>
  <si>
    <t>Evaluar si las conciliaciones intercompany están gobernadas, calendarizadas y coordinadas entre entidades.</t>
  </si>
  <si>
    <t>Conciliaciones manuales, tardías y dependientes de comunicación informal.</t>
  </si>
  <si>
    <t>Calendario básico y responsables por entidad, con variabilidad y retrasos.</t>
  </si>
  <si>
    <t>Calendario, ownership, materialidad, reglas y evidencias definidos.</t>
  </si>
  <si>
    <t>Proceso integrado en el cierre, con seguimiento de incidencias, escalados y KPIs.</t>
  </si>
  <si>
    <t>Conciliación intercompany integrada con alertas tempranas, flujo de trabajo y priorización IA de partidas críticas.</t>
  </si>
  <si>
    <t>Conciliación con IA; listas de verificación de cierre automatizadas</t>
  </si>
  <si>
    <t>¿Existe calendario?
¿Hay owners por entidad?
¿Se definen umbrales?
¿Hay escalados?</t>
  </si>
  <si>
    <t>Calendario; RACI; reportes IC; KPIs; actas de escalado; evidencias.</t>
  </si>
  <si>
    <t>Diseñar gobierno de conciliación intercompañía con calendario, umbrales, flujo de trabajo y seguimiento de partidas abiertas.</t>
  </si>
  <si>
    <t>6.2 Matching, diferencias y resolución de partidas</t>
  </si>
  <si>
    <t>Evaluar el grado de automatización y efectividad del matching y resolución de diferencias.</t>
  </si>
  <si>
    <t>Matching manual y resolución caso a caso, con retrasos frecuentes.</t>
  </si>
  <si>
    <t>Reglas básicas de matching y conciliación manual de excepciones.</t>
  </si>
  <si>
    <t>Matching estandarizado con reglas y documentación de excepciones.</t>
  </si>
  <si>
    <t>Matching automatizado con reglas avanzadas, workflow de resolución y análisis causa-raíz.</t>
  </si>
  <si>
    <t>Conciliación con IA y NLP a nivel de transacción contra los documentos soporte, con emparejamiento inteligente, explicación de las diferencias y recomendación de resolución.</t>
  </si>
  <si>
    <t>Conciliación de saldos contables a nivel de transacción con facturas, pedidos de compra y extractos bancarios</t>
  </si>
  <si>
    <t>¿Qué porcentaje se matchea automáticamente?
¿Cómo se resuelven diferencias?
¿Se analiza causa-raíz?
¿Hay workflow?</t>
  </si>
  <si>
    <t>Reportes de matching; partidas abiertas; logs de excepción; workflow de resolución; análisis causa-raíz.</t>
  </si>
  <si>
    <t>Implantar casación inteligente y flujo de resolución intercompañía con análisis causa-raíz y priorización por materialidad.</t>
  </si>
  <si>
    <t>6.3 Prevención y reducción de diferencias recurrentes</t>
  </si>
  <si>
    <t>Evaluar si la organización previene diferencias intercompany recurrentes y mejora el proceso.</t>
  </si>
  <si>
    <t>Diferencias recurrentes tratadas reactivamente, sin análisis sistemático.</t>
  </si>
  <si>
    <t>Se identifican diferencias frecuentes, pero con planes de mejora limitados.</t>
  </si>
  <si>
    <t>Análisis periódico de causas recurrentes y responsables por entidad/proceso.</t>
  </si>
  <si>
    <t>Acciones preventivas, reglas de eliminación, acuerdos intercompany y mejora continua.</t>
  </si>
  <si>
    <t>Modelos IA detectan patrones de diferencias recurrentes, predicen riesgos de desbalance y recomiendan cambios preventivos.</t>
  </si>
  <si>
    <t>Monitorización predictiva del cumplimiento; identificación de asientos inusuales durante el cierre</t>
  </si>
  <si>
    <t>¿Se identifican causas recurrentes?
¿Se ejecutan acciones preventivas?
¿Se actualizan reglas/acuerdos?
¿Se reducen partidas abiertas?</t>
  </si>
  <si>
    <t>Análisis de recurrencia; planes de acción; acuerdos IC; reglas de eliminación; KPIs de aging.</t>
  </si>
  <si>
    <t>Crear programa de reducción de diferencias intercompañía con análisis de patrones, acciones preventivas y seguimiento de antigüedad.</t>
  </si>
  <si>
    <t>6.4 Integración con consolidación y reporting</t>
  </si>
  <si>
    <t>Evaluar si la conciliación intercompany está conectada con consolidación y reporting, evitando ajustes tardíos.</t>
  </si>
  <si>
    <t>Conciliaciones desconectadas de consolidación, generando ajustes tardíos.</t>
  </si>
  <si>
    <t>Interacción parcial con consolidación, con reconciliaciones manuales finales.</t>
  </si>
  <si>
    <t>Proceso IC conectado al cierre y consolidación con reglas y responsables definidos.</t>
  </si>
  <si>
    <t>Integración automática con consolidación, eliminaciones, reporting y seguimiento de impactos.</t>
  </si>
  <si>
    <t>Conciliación intercompany automatizada, conectada con la consolidación multiestándar y multidivisa, y detección con IA de su impacto en los informes.</t>
  </si>
  <si>
    <t>Consolidación de registros contables bajo distintas normas y divisas; Conciliación con IA</t>
  </si>
  <si>
    <t>¿La conciliación alimenta consolidación?
¿Se evitan ajustes de última hora?
¿Hay reglas de eliminación conectadas?
¿Se mide impacto?</t>
  </si>
  <si>
    <t>Reportes IC; consolidación; eliminaciones; ajustes; logs de integración; KPIs de late adjustments.</t>
  </si>
  <si>
    <t>Integrar conciliación intercompañía con consolidación, eliminaciones, informes y alertas de impacto antes del cierre.</t>
  </si>
  <si>
    <t>Score global dominio</t>
  </si>
  <si>
    <t>Procesos</t>
  </si>
  <si>
    <t>Tecnología</t>
  </si>
  <si>
    <t>Organización</t>
  </si>
  <si>
    <t>Score medio</t>
  </si>
  <si>
    <t>Gap</t>
  </si>
  <si>
    <t>Casos AI</t>
  </si>
  <si>
    <t>Casos AI asociados</t>
  </si>
  <si>
    <t>Oleada</t>
  </si>
  <si>
    <t>Owner</t>
  </si>
  <si>
    <t>Estado</t>
  </si>
  <si>
    <t>Comentarios</t>
  </si>
  <si>
    <t>No iniciado</t>
  </si>
  <si>
    <t>Aplicación en nivel avanzado</t>
  </si>
  <si>
    <t>Fuente</t>
  </si>
  <si>
    <t>FinanceAI - Use Cases Summary_C / F3M AI Use Case Mapping</t>
  </si>
  <si>
    <t>Generación con GenAI de borradores de informes regulatorios y de secciones 10Q y 10K, con interpretación normativa, trazabilidad de la fuente y revisión humana.</t>
  </si>
  <si>
    <t>3.3 Narrative reporting y envío ESEF</t>
  </si>
  <si>
    <t>Narrative MD&amp;A draft generation y consolidation of written reports con GenAI, manteniendo evidencia, consistencia y revisión humana.</t>
  </si>
  <si>
    <t>GUÍAS DE SCORING F3M</t>
  </si>
  <si>
    <t>PROCESOS</t>
  </si>
  <si>
    <t>Nivel 1 - Inicial: Proceso inexistente, manual o ad hoc.</t>
  </si>
  <si>
    <t>Nivel 2 - Estructurado: Proceso parcial, definido con variabilidad y dependencias manuales.</t>
  </si>
  <si>
    <t>Nivel 3 - Estandarizado: Proceso documentado, homogéneo y repetible.</t>
  </si>
  <si>
    <t>Nivel 4 - Optimizado: Proceso medido, eficiente, con controles y mejora continua.</t>
  </si>
  <si>
    <t>Nivel 5 - Avanzado: Proceso integrado end-to-end, orientado a decisión y habilitado por automatización/AI cuando aplique.</t>
  </si>
  <si>
    <t>TECNOLOGÍA</t>
  </si>
  <si>
    <t>Nivel 1 - Inicial: Excel/manual, sin integración.</t>
  </si>
  <si>
    <t>Nivel 2 - Estructurado: Herramientas parciales o locales, con baja integración.</t>
  </si>
  <si>
    <t>Nivel 3 - Estandarizado: Herramienta corporativa y reglas definidas.</t>
  </si>
  <si>
    <t>Nivel 4 - Optimizado: Integración end-to-end, automatización y controles tecnológicos.</t>
  </si>
  <si>
    <t>Nivel 5 - Avanzado: Analítica avanzada, AI/GenAI, detección predictiva, autoservicio o workflow inteligente.</t>
  </si>
  <si>
    <t>ORGANIZACIÓN</t>
  </si>
  <si>
    <t>Nivel 1 - Inicial: Roles poco claros y alta dependencia de personas.</t>
  </si>
  <si>
    <t>Nivel 2 - Estructurado: Roles parcialmente definidos y coordinación manual.</t>
  </si>
  <si>
    <t>Nivel 3 - Estandarizado: Roles, ownership y accountability claros.</t>
  </si>
  <si>
    <t>Nivel 4 - Optimizado: Organización alineada con procesos, KPIs y mejora continua.</t>
  </si>
  <si>
    <t>Nivel 5 - Avanzado: Equipos orientados a control inteligente, insight, colaboración y generación de valor.</t>
  </si>
  <si>
    <t>REGLAS DE ORO</t>
  </si>
  <si>
    <t>- Puntuar el estado actual, no el objetivo.</t>
  </si>
  <si>
    <t>- No mezclar palancas: procesos, tecnología y organización se puntúan por separado.</t>
  </si>
  <si>
    <t>- Sustentar cada score con evidencias.</t>
  </si>
  <si>
    <t>- No sobrevalorar la tecnología si el proceso o la adopción no están maduros.</t>
  </si>
  <si>
    <t>F3M - Controlling | Assessment-ready con AI</t>
  </si>
  <si>
    <t>Uso</t>
  </si>
  <si>
    <t>Puntuar cada subcapacidad en Procesos, Tecnología y Organización usando escala 1-5.</t>
  </si>
  <si>
    <t>Nivel avanzado</t>
  </si>
  <si>
    <t>Los niveles 5 incorporan casos de uso AI mapeados desde la documentación FinanceAI y la matriz F3M AI Use Case Mapping.</t>
  </si>
  <si>
    <t>Objetivo de madurez</t>
  </si>
  <si>
    <t>El gap se calcula frente a Nivel 4 - Optimizado.</t>
  </si>
  <si>
    <t>Pestañas</t>
  </si>
  <si>
    <t>Assessment, Resumen, Heatmap, Roadmap, AI Overlay, Guias scoring e Instrucciones.</t>
  </si>
  <si>
    <t xml:space="preserve">Checklist inteligente de cierre; Cierre sin intervención sobre P2P y O2C; Recomendaciones de resolución de incidencias</t>
  </si>
  <si>
    <t xml:space="preserve">Detección de provisiones omitidas; Automatización de asientos y previsión del cierre; Vigilancia en tiempo real de asientos sospechosos</t>
  </si>
  <si>
    <t xml:space="preserve">Detección de asientos inusuales en el cierre; Vigilancia en tiempo real de asientos sospechosos</t>
  </si>
  <si>
    <t xml:space="preserve">Cierre sin intervención sobre P2P y O2C; Minería de procesos del cierre</t>
  </si>
  <si>
    <t xml:space="preserve">Detección de inconsistencias en datos maestros; Flujos guiados de cambio en datos maestros</t>
  </si>
  <si>
    <t xml:space="preserve">Consolidación multinorma y multidivisa</t>
  </si>
  <si>
    <t xml:space="preserve">Integración automatizada de datos financieros; Detección de inconsistencias en datos maestros</t>
  </si>
  <si>
    <t xml:space="preserve">Consolidación de informes en un único documento; Análisis de desviaciones con explicación automática</t>
  </si>
  <si>
    <t xml:space="preserve">Preparación asistida de estados financieros</t>
  </si>
  <si>
    <t xml:space="preserve">Borrador de informes regulatorios; Borrador de secciones 10Q y 10K; Interpretación de normativa financiera</t>
  </si>
  <si>
    <t xml:space="preserve">Borrador narrativo del MD&amp;A; Consolidación de informes en un único documento</t>
  </si>
  <si>
    <t xml:space="preserve">Interpretación de normativa financiera; Consolidación de informes en un único documento; Detección de asientos inusuales en el cierre</t>
  </si>
  <si>
    <t xml:space="preserve">Análisis de desviaciones con explicación automática</t>
  </si>
  <si>
    <t xml:space="preserve">Detección de inconsistencias en datos maestros; Detección de errores de clasificación de gasto; Generación de documentación de metadatos</t>
  </si>
  <si>
    <t xml:space="preserve">Analista digital de Finanzas bajo demanda</t>
  </si>
  <si>
    <t xml:space="preserve">Patrones históricos para predecir el rendimiento</t>
  </si>
  <si>
    <t xml:space="preserve">Informes de gestión con comentario automático; Integración automatizada de datos financieros</t>
  </si>
  <si>
    <t xml:space="preserve">Analista digital de Finanzas bajo demanda; Recomendaciones de acción a nivel de proyecto; Visión ejecutiva de la salud financiera</t>
  </si>
  <si>
    <t xml:space="preserve">Conciliación a nivel de transacción; Checklist inteligente de cierre</t>
  </si>
  <si>
    <t xml:space="preserve">Conciliación a nivel de transacción</t>
  </si>
  <si>
    <t xml:space="preserve">Monitorización predictiva del cumplimiento; Detección de asientos inusuales en el cierre</t>
  </si>
  <si>
    <t xml:space="preserve">Consolidación multinorma y multidivisa; Conciliación a nivel de transacción</t>
  </si>
  <si>
    <t xml:space="preserve">Consolidación multinorma y multidivisa; Detección de inconsistencias en datos maestros</t>
  </si>
  <si>
    <t xml:space="preserve">Preparación asistida de estados financieros; Consolidación de informes en un único documento</t>
  </si>
  <si>
    <t xml:space="preserve">Análisis de desviaciones con explicación automática; Informes de gestión con comentario automático</t>
  </si>
  <si>
    <t xml:space="preserve">Analista digital de Finanzas bajo demanda; Visión ejecutiva de la salud financiera</t>
  </si>
  <si>
    <t xml:space="preserve">Patrones históricos para predecir el rendimiento; Previsión y escenarios bajo demanda</t>
  </si>
  <si>
    <t xml:space="preserve">Analista digital de Finanzas bajo demanda; Consulta del dato en lenguaje natural</t>
  </si>
  <si>
    <t xml:space="preserve">Conciliación a nivel de transacción; Recomendaciones de resolución de incidencias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</si>
</sst>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1" fillId="2" borderId="0" xfId="0" applyFont="1" applyFill="1"/>
  </cellXfs>
  <cellStyles count="1">
    <cellStyle name="Normal" xfId="0" builtinId="0"/>
  </cellStyles>
  <dxfs count="3">
    <dxf>
      <fill>
        <patternFill patternType="solid">
          <fgColor rgb="FF63BE7B"/>
        </patternFill>
      </fill>
    </dxf>
    <dxf>
      <fill>
        <patternFill patternType="solid">
          <fgColor rgb="FFFFEB84"/>
        </patternFill>
      </fill>
    </dxf>
    <dxf>
      <fill>
        <patternFill patternType="solid">
          <fgColor rgb="FFF8696B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Score medio por capacidad - Controlling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Resumen!$E$1</c:f>
              <c:strCache>
                <c:ptCount val="1"/>
                <c:pt idx="0">
                  <c:v>Score Medio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Resumen!$A$2:$A$7</c:f>
              <c:strCache>
                <c:ptCount val="6"/>
                <c:pt idx="0">
                  <c:v>Cierre</c:v>
                </c:pt>
                <c:pt idx="1">
                  <c:v>Consolidación</c:v>
                </c:pt>
                <c:pt idx="2">
                  <c:v>Informes externos</c:v>
                </c:pt>
                <c:pt idx="3">
                  <c:v>Análisis financiero</c:v>
                </c:pt>
                <c:pt idx="4">
                  <c:v>Informes internos</c:v>
                </c:pt>
                <c:pt idx="5">
                  <c:v>Conciliación intercompany</c:v>
                </c:pt>
              </c:strCache>
            </c:strRef>
          </c:cat>
          <c:val>
            <c:numRef>
              <c:f>Resumen!$E$2:$E$7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6-4D46-A4E7-878B9533D9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Capacidad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Score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0</xdr:colOff>
      <xdr:row>1</xdr:row>
      <xdr:rowOff>0</xdr:rowOff>
    </xdr:from>
    <xdr:ext cx="57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workbookViewId="0">
      <pane ySplit="1" topLeftCell="A23" activePane="bottomLeft" state="frozen"/>
      <selection pane="bottomLeft" activeCell="A25" sqref="A25"/>
    </sheetView>
  </sheetViews>
  <sheetFormatPr defaultRowHeight="15" x14ac:dyDescent="0.25"/>
  <cols>
    <col min="1" max="1" width="28" customWidth="1"/>
    <col min="2" max="2" width="48" customWidth="1"/>
    <col min="3" max="3" width="58" customWidth="1"/>
    <col min="4" max="7" width="48" customWidth="1"/>
    <col min="8" max="8" width="65" customWidth="1"/>
    <col min="9" max="9" width="45" customWidth="1"/>
    <col min="10" max="10" width="14" customWidth="1"/>
    <col min="11" max="11" width="16" customWidth="1"/>
    <col min="12" max="12" width="18" customWidth="1"/>
    <col min="13" max="13" width="13" customWidth="1"/>
    <col min="14" max="14" width="24" customWidth="1"/>
    <col min="15" max="15" width="13" customWidth="1"/>
    <col min="16" max="16" width="12" customWidth="1"/>
    <col min="17" max="17" width="58" customWidth="1"/>
    <col min="18" max="18" width="52" customWidth="1"/>
    <col min="19" max="19" width="70" customWidth="1"/>
    <col min="20" max="20" width="45" customWidth="1"/>
  </cols>
  <sheetData>
    <row r="1" spans="1:20" ht="4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99.95" customHeight="1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342</v>
      </c>
      <c r="J2" s="2"/>
      <c r="K2" s="2"/>
      <c r="L2" s="2"/>
      <c r="M2" s="2" t="str">
        <f t="shared" ref="M2:M25" si="0">IF(COUNTA(J2:L2)=0,"",ROUND(AVERAGE(J2:L2),2))</f>
        <v/>
      </c>
      <c r="N2" s="2" t="str">
        <f t="shared" ref="N2:N25" si="1">IF(M2="","",IF(M2&lt;1.5,"1 - Inicial",IF(M2&lt;2.5,"2 - Estructurado",IF(M2&lt;3.5,"3 - Estandarizado",IF(M2&lt;4.5,"4 - Optimizado","5 - Avanzado/Referente")))))</f>
        <v/>
      </c>
      <c r="O2" s="2" t="str">
        <f t="shared" ref="O2:O25" si="2">IF(M2="","",MAX(0,4-M2))</f>
        <v/>
      </c>
      <c r="P2" s="2" t="str">
        <f t="shared" ref="P2:P25" si="3">IF(M2="","",IF(O2&gt;=2,"Alta",IF(O2&gt;=1,"Media","Baja")))</f>
        <v/>
      </c>
      <c r="Q2" s="2" t="s">
        <v>29</v>
      </c>
      <c r="R2" s="2" t="s">
        <v>30</v>
      </c>
      <c r="S2" s="2" t="s">
        <v>31</v>
      </c>
      <c r="T2" s="2"/>
    </row>
    <row r="3" spans="1:20" ht="99.95" customHeight="1" x14ac:dyDescent="0.25">
      <c r="A3" s="2" t="s">
        <v>20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343</v>
      </c>
      <c r="J3" s="2"/>
      <c r="K3" s="2"/>
      <c r="L3" s="2"/>
      <c r="M3" s="2" t="str">
        <f t="shared" si="0"/>
        <v/>
      </c>
      <c r="N3" s="2" t="str">
        <f t="shared" si="1"/>
        <v/>
      </c>
      <c r="O3" s="2" t="str">
        <f t="shared" si="2"/>
        <v/>
      </c>
      <c r="P3" s="2" t="str">
        <f t="shared" si="3"/>
        <v/>
      </c>
      <c r="Q3" s="2" t="s">
        <v>40</v>
      </c>
      <c r="R3" s="2" t="s">
        <v>41</v>
      </c>
      <c r="S3" s="2" t="s">
        <v>42</v>
      </c>
      <c r="T3" s="2"/>
    </row>
    <row r="4" spans="1:20" ht="99.95" customHeight="1" x14ac:dyDescent="0.25">
      <c r="A4" s="2" t="s">
        <v>20</v>
      </c>
      <c r="B4" s="2" t="s">
        <v>43</v>
      </c>
      <c r="C4" s="2" t="s">
        <v>44</v>
      </c>
      <c r="D4" s="2" t="s">
        <v>45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344</v>
      </c>
      <c r="J4" s="2"/>
      <c r="K4" s="2"/>
      <c r="L4" s="2"/>
      <c r="M4" s="2" t="str">
        <f t="shared" si="0"/>
        <v/>
      </c>
      <c r="N4" s="2" t="str">
        <f t="shared" si="1"/>
        <v/>
      </c>
      <c r="O4" s="2" t="str">
        <f t="shared" si="2"/>
        <v/>
      </c>
      <c r="P4" s="2" t="str">
        <f t="shared" si="3"/>
        <v/>
      </c>
      <c r="Q4" s="2" t="s">
        <v>51</v>
      </c>
      <c r="R4" s="2" t="s">
        <v>52</v>
      </c>
      <c r="S4" s="2" t="s">
        <v>53</v>
      </c>
      <c r="T4" s="2"/>
    </row>
    <row r="5" spans="1:20" ht="99.95" customHeight="1" x14ac:dyDescent="0.25">
      <c r="A5" s="2" t="s">
        <v>20</v>
      </c>
      <c r="B5" s="2" t="s">
        <v>54</v>
      </c>
      <c r="C5" s="2" t="s">
        <v>55</v>
      </c>
      <c r="D5" s="2" t="s">
        <v>56</v>
      </c>
      <c r="E5" s="2" t="s">
        <v>57</v>
      </c>
      <c r="F5" s="2" t="s">
        <v>58</v>
      </c>
      <c r="G5" s="2" t="s">
        <v>59</v>
      </c>
      <c r="H5" s="2" t="s">
        <v>60</v>
      </c>
      <c r="I5" s="2" t="s">
        <v>345</v>
      </c>
      <c r="J5" s="2"/>
      <c r="K5" s="2"/>
      <c r="L5" s="2"/>
      <c r="M5" s="2" t="str">
        <f t="shared" si="0"/>
        <v/>
      </c>
      <c r="N5" s="2" t="str">
        <f t="shared" si="1"/>
        <v/>
      </c>
      <c r="O5" s="2" t="str">
        <f t="shared" si="2"/>
        <v/>
      </c>
      <c r="P5" s="2" t="str">
        <f t="shared" si="3"/>
        <v/>
      </c>
      <c r="Q5" s="2" t="s">
        <v>62</v>
      </c>
      <c r="R5" s="2" t="s">
        <v>63</v>
      </c>
      <c r="S5" s="2" t="s">
        <v>64</v>
      </c>
      <c r="T5" s="2"/>
    </row>
    <row r="6" spans="1:20" ht="99.95" customHeight="1" x14ac:dyDescent="0.25">
      <c r="A6" s="2" t="s">
        <v>65</v>
      </c>
      <c r="B6" s="2" t="s">
        <v>66</v>
      </c>
      <c r="C6" s="2" t="s">
        <v>67</v>
      </c>
      <c r="D6" s="2" t="s">
        <v>68</v>
      </c>
      <c r="E6" s="2" t="s">
        <v>69</v>
      </c>
      <c r="F6" s="2" t="s">
        <v>70</v>
      </c>
      <c r="G6" s="2" t="s">
        <v>71</v>
      </c>
      <c r="H6" s="2" t="s">
        <v>72</v>
      </c>
      <c r="I6" s="2" t="s">
        <v>346</v>
      </c>
      <c r="J6" s="2"/>
      <c r="K6" s="2"/>
      <c r="L6" s="2"/>
      <c r="M6" s="2" t="str">
        <f t="shared" si="0"/>
        <v/>
      </c>
      <c r="N6" s="2" t="str">
        <f t="shared" si="1"/>
        <v/>
      </c>
      <c r="O6" s="2" t="str">
        <f t="shared" si="2"/>
        <v/>
      </c>
      <c r="P6" s="2" t="str">
        <f t="shared" si="3"/>
        <v/>
      </c>
      <c r="Q6" s="2" t="s">
        <v>74</v>
      </c>
      <c r="R6" s="2" t="s">
        <v>75</v>
      </c>
      <c r="S6" s="2" t="s">
        <v>76</v>
      </c>
      <c r="T6" s="2"/>
    </row>
    <row r="7" spans="1:20" ht="99.95" customHeight="1" x14ac:dyDescent="0.25">
      <c r="A7" s="2" t="s">
        <v>65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364</v>
      </c>
      <c r="J7" s="2"/>
      <c r="K7" s="2"/>
      <c r="L7" s="2"/>
      <c r="M7" s="2" t="str">
        <f t="shared" si="0"/>
        <v/>
      </c>
      <c r="N7" s="2" t="str">
        <f t="shared" si="1"/>
        <v/>
      </c>
      <c r="O7" s="2" t="str">
        <f t="shared" si="2"/>
        <v/>
      </c>
      <c r="P7" s="2" t="str">
        <f t="shared" si="3"/>
        <v/>
      </c>
      <c r="Q7" s="2" t="s">
        <v>85</v>
      </c>
      <c r="R7" s="2" t="s">
        <v>86</v>
      </c>
      <c r="S7" s="2" t="s">
        <v>87</v>
      </c>
      <c r="T7" s="2"/>
    </row>
    <row r="8" spans="1:20" ht="99.95" customHeight="1" x14ac:dyDescent="0.25">
      <c r="A8" s="2" t="s">
        <v>65</v>
      </c>
      <c r="B8" s="2" t="s">
        <v>88</v>
      </c>
      <c r="C8" s="2" t="s">
        <v>89</v>
      </c>
      <c r="D8" s="2" t="s">
        <v>90</v>
      </c>
      <c r="E8" s="2" t="s">
        <v>91</v>
      </c>
      <c r="F8" s="2" t="s">
        <v>92</v>
      </c>
      <c r="G8" s="2" t="s">
        <v>93</v>
      </c>
      <c r="H8" s="2" t="s">
        <v>94</v>
      </c>
      <c r="I8" s="2" t="s">
        <v>348</v>
      </c>
      <c r="J8" s="2"/>
      <c r="K8" s="2"/>
      <c r="L8" s="2"/>
      <c r="M8" s="2" t="str">
        <f t="shared" si="0"/>
        <v/>
      </c>
      <c r="N8" s="2" t="str">
        <f t="shared" si="1"/>
        <v/>
      </c>
      <c r="O8" s="2" t="str">
        <f t="shared" si="2"/>
        <v/>
      </c>
      <c r="P8" s="2" t="str">
        <f t="shared" si="3"/>
        <v/>
      </c>
      <c r="Q8" s="2" t="s">
        <v>96</v>
      </c>
      <c r="R8" s="2" t="s">
        <v>97</v>
      </c>
      <c r="S8" s="2" t="s">
        <v>98</v>
      </c>
      <c r="T8" s="2"/>
    </row>
    <row r="9" spans="1:20" ht="99.95" customHeight="1" x14ac:dyDescent="0.25">
      <c r="A9" s="2" t="s">
        <v>65</v>
      </c>
      <c r="B9" s="2" t="s">
        <v>99</v>
      </c>
      <c r="C9" s="2" t="s">
        <v>100</v>
      </c>
      <c r="D9" s="2" t="s">
        <v>101</v>
      </c>
      <c r="E9" s="2" t="s">
        <v>102</v>
      </c>
      <c r="F9" s="2" t="s">
        <v>103</v>
      </c>
      <c r="G9" s="2" t="s">
        <v>104</v>
      </c>
      <c r="H9" s="2" t="s">
        <v>105</v>
      </c>
      <c r="I9" s="2" t="s">
        <v>349</v>
      </c>
      <c r="J9" s="2"/>
      <c r="K9" s="2"/>
      <c r="L9" s="2"/>
      <c r="M9" s="2" t="str">
        <f t="shared" si="0"/>
        <v/>
      </c>
      <c r="N9" s="2" t="str">
        <f t="shared" si="1"/>
        <v/>
      </c>
      <c r="O9" s="2" t="str">
        <f t="shared" si="2"/>
        <v/>
      </c>
      <c r="P9" s="2" t="str">
        <f t="shared" si="3"/>
        <v/>
      </c>
      <c r="Q9" s="2" t="s">
        <v>107</v>
      </c>
      <c r="R9" s="2" t="s">
        <v>108</v>
      </c>
      <c r="S9" s="2" t="s">
        <v>109</v>
      </c>
      <c r="T9" s="2"/>
    </row>
    <row r="10" spans="1:20" ht="99.95" customHeight="1" x14ac:dyDescent="0.25">
      <c r="A10" s="2" t="s">
        <v>110</v>
      </c>
      <c r="B10" s="2" t="s">
        <v>111</v>
      </c>
      <c r="C10" s="2" t="s">
        <v>112</v>
      </c>
      <c r="D10" s="2" t="s">
        <v>113</v>
      </c>
      <c r="E10" s="2" t="s">
        <v>114</v>
      </c>
      <c r="F10" s="2" t="s">
        <v>115</v>
      </c>
      <c r="G10" s="2" t="s">
        <v>116</v>
      </c>
      <c r="H10" s="2" t="s">
        <v>117</v>
      </c>
      <c r="I10" s="2" t="s">
        <v>365</v>
      </c>
      <c r="J10" s="2"/>
      <c r="K10" s="2"/>
      <c r="L10" s="2"/>
      <c r="M10" s="2" t="str">
        <f t="shared" si="0"/>
        <v/>
      </c>
      <c r="N10" s="2" t="str">
        <f t="shared" si="1"/>
        <v/>
      </c>
      <c r="O10" s="2" t="str">
        <f t="shared" si="2"/>
        <v/>
      </c>
      <c r="P10" s="2" t="str">
        <f t="shared" si="3"/>
        <v/>
      </c>
      <c r="Q10" s="2" t="s">
        <v>119</v>
      </c>
      <c r="R10" s="2" t="s">
        <v>120</v>
      </c>
      <c r="S10" s="2" t="s">
        <v>121</v>
      </c>
      <c r="T10" s="2"/>
    </row>
    <row r="11" spans="1:20" ht="99.95" customHeight="1" x14ac:dyDescent="0.25">
      <c r="A11" s="2" t="s">
        <v>110</v>
      </c>
      <c r="B11" s="2" t="s">
        <v>122</v>
      </c>
      <c r="C11" s="2" t="s">
        <v>123</v>
      </c>
      <c r="D11" s="2" t="s">
        <v>124</v>
      </c>
      <c r="E11" s="2" t="s">
        <v>125</v>
      </c>
      <c r="F11" s="2" t="s">
        <v>126</v>
      </c>
      <c r="G11" s="2" t="s">
        <v>127</v>
      </c>
      <c r="H11" s="2" t="s">
        <v>128</v>
      </c>
      <c r="I11" s="2" t="s">
        <v>351</v>
      </c>
      <c r="J11" s="2"/>
      <c r="K11" s="2"/>
      <c r="L11" s="2"/>
      <c r="M11" s="2" t="str">
        <f t="shared" si="0"/>
        <v/>
      </c>
      <c r="N11" s="2" t="str">
        <f t="shared" si="1"/>
        <v/>
      </c>
      <c r="O11" s="2" t="str">
        <f t="shared" si="2"/>
        <v/>
      </c>
      <c r="P11" s="2" t="str">
        <f t="shared" si="3"/>
        <v/>
      </c>
      <c r="Q11" s="2" t="s">
        <v>130</v>
      </c>
      <c r="R11" s="2" t="s">
        <v>131</v>
      </c>
      <c r="S11" s="2" t="s">
        <v>132</v>
      </c>
      <c r="T11" s="2"/>
    </row>
    <row r="12" spans="1:20" ht="99.95" customHeight="1" x14ac:dyDescent="0.25">
      <c r="A12" s="2" t="s">
        <v>110</v>
      </c>
      <c r="B12" s="2" t="s">
        <v>133</v>
      </c>
      <c r="C12" s="2" t="s">
        <v>134</v>
      </c>
      <c r="D12" s="2" t="s">
        <v>135</v>
      </c>
      <c r="E12" s="2" t="s">
        <v>136</v>
      </c>
      <c r="F12" s="2" t="s">
        <v>137</v>
      </c>
      <c r="G12" s="2" t="s">
        <v>138</v>
      </c>
      <c r="H12" s="2" t="s">
        <v>139</v>
      </c>
      <c r="I12" s="2" t="s">
        <v>352</v>
      </c>
      <c r="J12" s="2"/>
      <c r="K12" s="2"/>
      <c r="L12" s="2"/>
      <c r="M12" s="2" t="str">
        <f t="shared" si="0"/>
        <v/>
      </c>
      <c r="N12" s="2" t="str">
        <f t="shared" si="1"/>
        <v/>
      </c>
      <c r="O12" s="2" t="str">
        <f t="shared" si="2"/>
        <v/>
      </c>
      <c r="P12" s="2" t="str">
        <f t="shared" si="3"/>
        <v/>
      </c>
      <c r="Q12" s="2" t="s">
        <v>141</v>
      </c>
      <c r="R12" s="2" t="s">
        <v>142</v>
      </c>
      <c r="S12" s="2" t="s">
        <v>143</v>
      </c>
      <c r="T12" s="2"/>
    </row>
    <row r="13" spans="1:20" ht="99.95" customHeight="1" x14ac:dyDescent="0.25">
      <c r="A13" s="2" t="s">
        <v>110</v>
      </c>
      <c r="B13" s="2" t="s">
        <v>144</v>
      </c>
      <c r="C13" s="2" t="s">
        <v>145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353</v>
      </c>
      <c r="J13" s="2"/>
      <c r="K13" s="2"/>
      <c r="L13" s="2"/>
      <c r="M13" s="2" t="str">
        <f t="shared" si="0"/>
        <v/>
      </c>
      <c r="N13" s="2" t="str">
        <f t="shared" si="1"/>
        <v/>
      </c>
      <c r="O13" s="2" t="str">
        <f t="shared" si="2"/>
        <v/>
      </c>
      <c r="P13" s="2" t="str">
        <f t="shared" si="3"/>
        <v/>
      </c>
      <c r="Q13" s="2" t="s">
        <v>152</v>
      </c>
      <c r="R13" s="2" t="s">
        <v>153</v>
      </c>
      <c r="S13" s="2" t="s">
        <v>154</v>
      </c>
      <c r="T13" s="2"/>
    </row>
    <row r="14" spans="1:20" ht="99.95" customHeight="1" x14ac:dyDescent="0.25">
      <c r="A14" s="2" t="s">
        <v>155</v>
      </c>
      <c r="B14" s="2" t="s">
        <v>156</v>
      </c>
      <c r="C14" s="2" t="s">
        <v>157</v>
      </c>
      <c r="D14" s="2" t="s">
        <v>158</v>
      </c>
      <c r="E14" s="2" t="s">
        <v>159</v>
      </c>
      <c r="F14" s="2" t="s">
        <v>160</v>
      </c>
      <c r="G14" s="2" t="s">
        <v>161</v>
      </c>
      <c r="H14" s="2" t="s">
        <v>162</v>
      </c>
      <c r="I14" s="2" t="s">
        <v>366</v>
      </c>
      <c r="J14" s="2"/>
      <c r="K14" s="2"/>
      <c r="L14" s="2"/>
      <c r="M14" s="2" t="str">
        <f t="shared" si="0"/>
        <v/>
      </c>
      <c r="N14" s="2" t="str">
        <f t="shared" si="1"/>
        <v/>
      </c>
      <c r="O14" s="2" t="str">
        <f t="shared" si="2"/>
        <v/>
      </c>
      <c r="P14" s="2" t="str">
        <f t="shared" si="3"/>
        <v/>
      </c>
      <c r="Q14" s="2" t="s">
        <v>164</v>
      </c>
      <c r="R14" s="2" t="s">
        <v>165</v>
      </c>
      <c r="S14" s="2" t="s">
        <v>166</v>
      </c>
      <c r="T14" s="2"/>
    </row>
    <row r="15" spans="1:20" ht="99.95" customHeight="1" x14ac:dyDescent="0.25">
      <c r="A15" s="2" t="s">
        <v>155</v>
      </c>
      <c r="B15" s="2" t="s">
        <v>167</v>
      </c>
      <c r="C15" s="2" t="s">
        <v>168</v>
      </c>
      <c r="D15" s="2" t="s">
        <v>169</v>
      </c>
      <c r="E15" s="2" t="s">
        <v>170</v>
      </c>
      <c r="F15" s="2" t="s">
        <v>171</v>
      </c>
      <c r="G15" s="2" t="s">
        <v>172</v>
      </c>
      <c r="H15" s="2" t="s">
        <v>173</v>
      </c>
      <c r="I15" s="2" t="s">
        <v>355</v>
      </c>
      <c r="J15" s="2"/>
      <c r="K15" s="2"/>
      <c r="L15" s="2"/>
      <c r="M15" s="2" t="str">
        <f t="shared" si="0"/>
        <v/>
      </c>
      <c r="N15" s="2" t="str">
        <f t="shared" si="1"/>
        <v/>
      </c>
      <c r="O15" s="2" t="str">
        <f t="shared" si="2"/>
        <v/>
      </c>
      <c r="P15" s="2" t="str">
        <f t="shared" si="3"/>
        <v/>
      </c>
      <c r="Q15" s="2" t="s">
        <v>175</v>
      </c>
      <c r="R15" s="2" t="s">
        <v>176</v>
      </c>
      <c r="S15" s="2" t="s">
        <v>177</v>
      </c>
      <c r="T15" s="2"/>
    </row>
    <row r="16" spans="1:20" ht="99.95" customHeight="1" x14ac:dyDescent="0.25">
      <c r="A16" s="2" t="s">
        <v>155</v>
      </c>
      <c r="B16" s="2" t="s">
        <v>178</v>
      </c>
      <c r="C16" s="2" t="s">
        <v>179</v>
      </c>
      <c r="D16" s="2" t="s">
        <v>180</v>
      </c>
      <c r="E16" s="2" t="s">
        <v>181</v>
      </c>
      <c r="F16" s="2" t="s">
        <v>182</v>
      </c>
      <c r="G16" s="2" t="s">
        <v>183</v>
      </c>
      <c r="H16" s="2" t="s">
        <v>184</v>
      </c>
      <c r="I16" s="2" t="s">
        <v>367</v>
      </c>
      <c r="J16" s="2"/>
      <c r="K16" s="2"/>
      <c r="L16" s="2"/>
      <c r="M16" s="2" t="str">
        <f t="shared" si="0"/>
        <v/>
      </c>
      <c r="N16" s="2" t="str">
        <f t="shared" si="1"/>
        <v/>
      </c>
      <c r="O16" s="2" t="str">
        <f t="shared" si="2"/>
        <v/>
      </c>
      <c r="P16" s="2" t="str">
        <f t="shared" si="3"/>
        <v/>
      </c>
      <c r="Q16" s="2" t="s">
        <v>186</v>
      </c>
      <c r="R16" s="2" t="s">
        <v>187</v>
      </c>
      <c r="S16" s="2" t="s">
        <v>188</v>
      </c>
      <c r="T16" s="2"/>
    </row>
    <row r="17" spans="1:20" ht="99.95" customHeight="1" x14ac:dyDescent="0.25">
      <c r="A17" s="2" t="s">
        <v>155</v>
      </c>
      <c r="B17" s="2" t="s">
        <v>189</v>
      </c>
      <c r="C17" s="2" t="s">
        <v>190</v>
      </c>
      <c r="D17" s="2" t="s">
        <v>191</v>
      </c>
      <c r="E17" s="2" t="s">
        <v>192</v>
      </c>
      <c r="F17" s="2" t="s">
        <v>193</v>
      </c>
      <c r="G17" s="2" t="s">
        <v>194</v>
      </c>
      <c r="H17" s="2" t="s">
        <v>195</v>
      </c>
      <c r="I17" s="2" t="s">
        <v>368</v>
      </c>
      <c r="J17" s="2"/>
      <c r="K17" s="2"/>
      <c r="L17" s="2"/>
      <c r="M17" s="2" t="str">
        <f t="shared" si="0"/>
        <v/>
      </c>
      <c r="N17" s="2" t="str">
        <f t="shared" si="1"/>
        <v/>
      </c>
      <c r="O17" s="2" t="str">
        <f t="shared" si="2"/>
        <v/>
      </c>
      <c r="P17" s="2" t="str">
        <f t="shared" si="3"/>
        <v/>
      </c>
      <c r="Q17" s="2" t="s">
        <v>197</v>
      </c>
      <c r="R17" s="2" t="s">
        <v>198</v>
      </c>
      <c r="S17" s="2" t="s">
        <v>199</v>
      </c>
      <c r="T17" s="2"/>
    </row>
    <row r="18" spans="1:20" ht="99.95" customHeight="1" x14ac:dyDescent="0.25">
      <c r="A18" s="2" t="s">
        <v>200</v>
      </c>
      <c r="B18" s="2" t="s">
        <v>201</v>
      </c>
      <c r="C18" s="2" t="s">
        <v>202</v>
      </c>
      <c r="D18" s="2" t="s">
        <v>203</v>
      </c>
      <c r="E18" s="2" t="s">
        <v>204</v>
      </c>
      <c r="F18" s="2" t="s">
        <v>205</v>
      </c>
      <c r="G18" s="2" t="s">
        <v>206</v>
      </c>
      <c r="H18" s="2" t="s">
        <v>207</v>
      </c>
      <c r="I18" s="2" t="s">
        <v>358</v>
      </c>
      <c r="J18" s="2"/>
      <c r="K18" s="2"/>
      <c r="L18" s="2"/>
      <c r="M18" s="2" t="str">
        <f t="shared" si="0"/>
        <v/>
      </c>
      <c r="N18" s="2" t="str">
        <f t="shared" si="1"/>
        <v/>
      </c>
      <c r="O18" s="2" t="str">
        <f t="shared" si="2"/>
        <v/>
      </c>
      <c r="P18" s="2" t="str">
        <f t="shared" si="3"/>
        <v/>
      </c>
      <c r="Q18" s="2" t="s">
        <v>209</v>
      </c>
      <c r="R18" s="2" t="s">
        <v>210</v>
      </c>
      <c r="S18" s="2" t="s">
        <v>211</v>
      </c>
      <c r="T18" s="2"/>
    </row>
    <row r="19" spans="1:20" ht="99.95" customHeight="1" x14ac:dyDescent="0.25">
      <c r="A19" s="2" t="s">
        <v>200</v>
      </c>
      <c r="B19" s="2" t="s">
        <v>212</v>
      </c>
      <c r="C19" s="2" t="s">
        <v>213</v>
      </c>
      <c r="D19" s="2" t="s">
        <v>214</v>
      </c>
      <c r="E19" s="2" t="s">
        <v>215</v>
      </c>
      <c r="F19" s="2" t="s">
        <v>216</v>
      </c>
      <c r="G19" s="2" t="s">
        <v>217</v>
      </c>
      <c r="H19" s="2" t="s">
        <v>218</v>
      </c>
      <c r="I19" s="2" t="s">
        <v>348</v>
      </c>
      <c r="J19" s="2"/>
      <c r="K19" s="2"/>
      <c r="L19" s="2"/>
      <c r="M19" s="2" t="str">
        <f t="shared" si="0"/>
        <v/>
      </c>
      <c r="N19" s="2" t="str">
        <f t="shared" si="1"/>
        <v/>
      </c>
      <c r="O19" s="2" t="str">
        <f t="shared" si="2"/>
        <v/>
      </c>
      <c r="P19" s="2" t="str">
        <f t="shared" si="3"/>
        <v/>
      </c>
      <c r="Q19" s="2" t="s">
        <v>220</v>
      </c>
      <c r="R19" s="2" t="s">
        <v>221</v>
      </c>
      <c r="S19" s="2" t="s">
        <v>222</v>
      </c>
      <c r="T19" s="2"/>
    </row>
    <row r="20" spans="1:20" ht="99.95" customHeight="1" x14ac:dyDescent="0.25">
      <c r="A20" s="2" t="s">
        <v>200</v>
      </c>
      <c r="B20" s="2" t="s">
        <v>223</v>
      </c>
      <c r="C20" s="2" t="s">
        <v>224</v>
      </c>
      <c r="D20" s="2" t="s">
        <v>225</v>
      </c>
      <c r="E20" s="2" t="s">
        <v>226</v>
      </c>
      <c r="F20" s="2" t="s">
        <v>227</v>
      </c>
      <c r="G20" s="2" t="s">
        <v>228</v>
      </c>
      <c r="H20" s="2" t="s">
        <v>229</v>
      </c>
      <c r="I20" s="2" t="s">
        <v>369</v>
      </c>
      <c r="J20" s="2"/>
      <c r="K20" s="2"/>
      <c r="L20" s="2"/>
      <c r="M20" s="2" t="str">
        <f t="shared" si="0"/>
        <v/>
      </c>
      <c r="N20" s="2" t="str">
        <f t="shared" si="1"/>
        <v/>
      </c>
      <c r="O20" s="2" t="str">
        <f t="shared" si="2"/>
        <v/>
      </c>
      <c r="P20" s="2" t="str">
        <f t="shared" si="3"/>
        <v/>
      </c>
      <c r="Q20" s="2" t="s">
        <v>231</v>
      </c>
      <c r="R20" s="2" t="s">
        <v>232</v>
      </c>
      <c r="S20" s="2" t="s">
        <v>233</v>
      </c>
      <c r="T20" s="2"/>
    </row>
    <row r="21" spans="1:20" ht="99.95" customHeight="1" x14ac:dyDescent="0.25">
      <c r="A21" s="2" t="s">
        <v>200</v>
      </c>
      <c r="B21" s="2" t="s">
        <v>234</v>
      </c>
      <c r="C21" s="2" t="s">
        <v>235</v>
      </c>
      <c r="D21" s="2" t="s">
        <v>236</v>
      </c>
      <c r="E21" s="2" t="s">
        <v>237</v>
      </c>
      <c r="F21" s="2" t="s">
        <v>238</v>
      </c>
      <c r="G21" s="2" t="s">
        <v>239</v>
      </c>
      <c r="H21" s="2" t="s">
        <v>240</v>
      </c>
      <c r="I21" s="2" t="s">
        <v>359</v>
      </c>
      <c r="J21" s="2"/>
      <c r="K21" s="2"/>
      <c r="L21" s="2"/>
      <c r="M21" s="2" t="str">
        <f t="shared" si="0"/>
        <v/>
      </c>
      <c r="N21" s="2" t="str">
        <f t="shared" si="1"/>
        <v/>
      </c>
      <c r="O21" s="2" t="str">
        <f t="shared" si="2"/>
        <v/>
      </c>
      <c r="P21" s="2" t="str">
        <f t="shared" si="3"/>
        <v/>
      </c>
      <c r="Q21" s="2" t="s">
        <v>242</v>
      </c>
      <c r="R21" s="2" t="s">
        <v>243</v>
      </c>
      <c r="S21" s="2" t="s">
        <v>244</v>
      </c>
      <c r="T21" s="2"/>
    </row>
    <row r="22" spans="1:20" ht="99.95" customHeight="1" x14ac:dyDescent="0.25">
      <c r="A22" s="2" t="s">
        <v>245</v>
      </c>
      <c r="B22" s="2" t="s">
        <v>246</v>
      </c>
      <c r="C22" s="2" t="s">
        <v>247</v>
      </c>
      <c r="D22" s="2" t="s">
        <v>248</v>
      </c>
      <c r="E22" s="2" t="s">
        <v>249</v>
      </c>
      <c r="F22" s="2" t="s">
        <v>250</v>
      </c>
      <c r="G22" s="2" t="s">
        <v>251</v>
      </c>
      <c r="H22" s="2" t="s">
        <v>252</v>
      </c>
      <c r="I22" s="2" t="s">
        <v>360</v>
      </c>
      <c r="J22" s="2"/>
      <c r="K22" s="2"/>
      <c r="L22" s="2"/>
      <c r="M22" s="2" t="str">
        <f t="shared" si="0"/>
        <v/>
      </c>
      <c r="N22" s="2" t="str">
        <f t="shared" si="1"/>
        <v/>
      </c>
      <c r="O22" s="2" t="str">
        <f t="shared" si="2"/>
        <v/>
      </c>
      <c r="P22" s="2" t="str">
        <f t="shared" si="3"/>
        <v/>
      </c>
      <c r="Q22" s="2" t="s">
        <v>254</v>
      </c>
      <c r="R22" s="2" t="s">
        <v>255</v>
      </c>
      <c r="S22" s="2" t="s">
        <v>256</v>
      </c>
      <c r="T22" s="2"/>
    </row>
    <row r="23" spans="1:20" ht="99.95" customHeight="1" x14ac:dyDescent="0.25">
      <c r="A23" s="2" t="s">
        <v>245</v>
      </c>
      <c r="B23" s="2" t="s">
        <v>257</v>
      </c>
      <c r="C23" s="2" t="s">
        <v>258</v>
      </c>
      <c r="D23" s="2" t="s">
        <v>259</v>
      </c>
      <c r="E23" s="2" t="s">
        <v>260</v>
      </c>
      <c r="F23" s="2" t="s">
        <v>261</v>
      </c>
      <c r="G23" s="2" t="s">
        <v>262</v>
      </c>
      <c r="H23" s="2" t="s">
        <v>263</v>
      </c>
      <c r="I23" s="2" t="s">
        <v>370</v>
      </c>
      <c r="J23" s="2"/>
      <c r="K23" s="2"/>
      <c r="L23" s="2"/>
      <c r="M23" s="2" t="str">
        <f t="shared" si="0"/>
        <v/>
      </c>
      <c r="N23" s="2" t="str">
        <f t="shared" si="1"/>
        <v/>
      </c>
      <c r="O23" s="2" t="str">
        <f t="shared" si="2"/>
        <v/>
      </c>
      <c r="P23" s="2" t="str">
        <f t="shared" si="3"/>
        <v/>
      </c>
      <c r="Q23" s="2" t="s">
        <v>265</v>
      </c>
      <c r="R23" s="2" t="s">
        <v>266</v>
      </c>
      <c r="S23" s="2" t="s">
        <v>267</v>
      </c>
      <c r="T23" s="2"/>
    </row>
    <row r="24" spans="1:20" ht="99.95" customHeight="1" x14ac:dyDescent="0.25">
      <c r="A24" s="2" t="s">
        <v>245</v>
      </c>
      <c r="B24" s="2" t="s">
        <v>268</v>
      </c>
      <c r="C24" s="2" t="s">
        <v>269</v>
      </c>
      <c r="D24" s="2" t="s">
        <v>270</v>
      </c>
      <c r="E24" s="2" t="s">
        <v>271</v>
      </c>
      <c r="F24" s="2" t="s">
        <v>272</v>
      </c>
      <c r="G24" s="2" t="s">
        <v>273</v>
      </c>
      <c r="H24" s="2" t="s">
        <v>274</v>
      </c>
      <c r="I24" s="2" t="s">
        <v>362</v>
      </c>
      <c r="J24" s="2"/>
      <c r="K24" s="2"/>
      <c r="L24" s="2"/>
      <c r="M24" s="2" t="str">
        <f t="shared" si="0"/>
        <v/>
      </c>
      <c r="N24" s="2" t="str">
        <f t="shared" si="1"/>
        <v/>
      </c>
      <c r="O24" s="2" t="str">
        <f t="shared" si="2"/>
        <v/>
      </c>
      <c r="P24" s="2" t="str">
        <f t="shared" si="3"/>
        <v/>
      </c>
      <c r="Q24" s="2" t="s">
        <v>276</v>
      </c>
      <c r="R24" s="2" t="s">
        <v>277</v>
      </c>
      <c r="S24" s="2" t="s">
        <v>278</v>
      </c>
      <c r="T24" s="2"/>
    </row>
    <row r="25" spans="1:20" ht="99.95" customHeight="1" x14ac:dyDescent="0.25">
      <c r="A25" s="2" t="s">
        <v>245</v>
      </c>
      <c r="B25" s="2" t="s">
        <v>279</v>
      </c>
      <c r="C25" s="2" t="s">
        <v>280</v>
      </c>
      <c r="D25" s="2" t="s">
        <v>281</v>
      </c>
      <c r="E25" s="2" t="s">
        <v>282</v>
      </c>
      <c r="F25" s="2" t="s">
        <v>283</v>
      </c>
      <c r="G25" s="2" t="s">
        <v>284</v>
      </c>
      <c r="H25" s="2" t="s">
        <v>285</v>
      </c>
      <c r="I25" s="2" t="s">
        <v>363</v>
      </c>
      <c r="J25" s="2"/>
      <c r="K25" s="2"/>
      <c r="L25" s="2"/>
      <c r="M25" s="2" t="str">
        <f t="shared" si="0"/>
        <v/>
      </c>
      <c r="N25" s="2" t="str">
        <f t="shared" si="1"/>
        <v/>
      </c>
      <c r="O25" s="2" t="str">
        <f t="shared" si="2"/>
        <v/>
      </c>
      <c r="P25" s="2" t="str">
        <f t="shared" si="3"/>
        <v/>
      </c>
      <c r="Q25" s="2" t="s">
        <v>287</v>
      </c>
      <c r="R25" s="2" t="s">
        <v>288</v>
      </c>
      <c r="S25" s="2" t="s">
        <v>289</v>
      </c>
      <c r="T25" s="2"/>
    </row>
  </sheetData>
  <autoFilter ref="A1:T25" xr:uid="{00000000-0009-0000-0000-000000000000}"/>
  <conditionalFormatting sqref="J2:J25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K2:K25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L2:L25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M2:M25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O2:O25">
    <cfRule type="colorScale" priority="5">
      <colorScale>
        <cfvo type="num" val="0"/>
        <cfvo type="num" val="1.5"/>
        <cfvo type="num" val="3"/>
        <color rgb="FF63BE7B"/>
        <color rgb="FFFFEB84"/>
        <color rgb="FFF8696B"/>
      </colorScale>
    </cfRule>
  </conditionalFormatting>
  <conditionalFormatting sqref="P2:P25">
    <cfRule type="expression" dxfId="2" priority="6">
      <formula>P2="Alta"</formula>
    </cfRule>
    <cfRule type="expression" dxfId="1" priority="7">
      <formula>P2="Media"</formula>
    </cfRule>
    <cfRule type="expression" dxfId="0" priority="8">
      <formula>P2="Baja"</formula>
    </cfRule>
  </conditionalFormatting>
  <dataValidations count="1">
    <dataValidation type="whole" allowBlank="1" errorTitle="Puntuación no válida" error="Introduce una puntuación entera entre 1 y 5." sqref="J2:J25 K2:K25 L2:L25" xr:uid="{00000000-0002-0000-0000-000000000000}">
      <formula1>1</formula1>
      <formula2>5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7" width="30" customWidth="1"/>
  </cols>
  <sheetData>
    <row r="1" spans="1:7" x14ac:dyDescent="0.25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14</v>
      </c>
      <c r="G1" s="1" t="s">
        <v>15</v>
      </c>
    </row>
    <row r="2" spans="1:7" x14ac:dyDescent="0.25">
      <c r="A2" s="2" t="s">
        <v>20</v>
      </c>
      <c r="B2" s="2" t="str">
        <f>IFERROR(ROUND(AVERAGEIF(Assessment!$A:$A,A2,Assessment!$J:$J),2),"")</f>
        <v/>
      </c>
      <c r="C2" s="2" t="str">
        <f>IFERROR(ROUND(AVERAGEIF(Assessment!$A:$A,A2,Assessment!$K:$K),2),"")</f>
        <v/>
      </c>
      <c r="D2" s="2" t="str">
        <f>IFERROR(ROUND(AVERAGEIF(Assessment!$A:$A,A2,Assessment!$L:$L),2),"")</f>
        <v/>
      </c>
      <c r="E2" s="2" t="str">
        <f>IFERROR(ROUND(AVERAGEIF(Assessment!$A:$A,A2,Assessment!$M:$M),2),"")</f>
        <v/>
      </c>
      <c r="F2" s="2" t="str">
        <f t="shared" ref="F2:F7" si="0">IF(E2="","",MAX(0,4-E2))</f>
        <v/>
      </c>
      <c r="G2" s="2" t="str">
        <f t="shared" ref="G2:G7" si="1">IF(E2="","",IF(F2&gt;=2,"Alta",IF(F2&gt;=1,"Media","Baja")))</f>
        <v/>
      </c>
    </row>
    <row r="3" spans="1:7" x14ac:dyDescent="0.25">
      <c r="A3" s="2" t="s">
        <v>65</v>
      </c>
      <c r="B3" s="2" t="str">
        <f>IFERROR(ROUND(AVERAGEIF(Assessment!$A:$A,A3,Assessment!$J:$J),2),"")</f>
        <v/>
      </c>
      <c r="C3" s="2" t="str">
        <f>IFERROR(ROUND(AVERAGEIF(Assessment!$A:$A,A3,Assessment!$K:$K),2),"")</f>
        <v/>
      </c>
      <c r="D3" s="2" t="str">
        <f>IFERROR(ROUND(AVERAGEIF(Assessment!$A:$A,A3,Assessment!$L:$L),2),"")</f>
        <v/>
      </c>
      <c r="E3" s="2" t="str">
        <f>IFERROR(ROUND(AVERAGEIF(Assessment!$A:$A,A3,Assessment!$M:$M),2),"")</f>
        <v/>
      </c>
      <c r="F3" s="2" t="str">
        <f t="shared" si="0"/>
        <v/>
      </c>
      <c r="G3" s="2" t="str">
        <f t="shared" si="1"/>
        <v/>
      </c>
    </row>
    <row r="4" spans="1:7" x14ac:dyDescent="0.25">
      <c r="A4" s="2" t="s">
        <v>110</v>
      </c>
      <c r="B4" s="2" t="str">
        <f>IFERROR(ROUND(AVERAGEIF(Assessment!$A:$A,A4,Assessment!$J:$J),2),"")</f>
        <v/>
      </c>
      <c r="C4" s="2" t="str">
        <f>IFERROR(ROUND(AVERAGEIF(Assessment!$A:$A,A4,Assessment!$K:$K),2),"")</f>
        <v/>
      </c>
      <c r="D4" s="2" t="str">
        <f>IFERROR(ROUND(AVERAGEIF(Assessment!$A:$A,A4,Assessment!$L:$L),2),"")</f>
        <v/>
      </c>
      <c r="E4" s="2" t="str">
        <f>IFERROR(ROUND(AVERAGEIF(Assessment!$A:$A,A4,Assessment!$M:$M),2),"")</f>
        <v/>
      </c>
      <c r="F4" s="2" t="str">
        <f t="shared" si="0"/>
        <v/>
      </c>
      <c r="G4" s="2" t="str">
        <f t="shared" si="1"/>
        <v/>
      </c>
    </row>
    <row r="5" spans="1:7" x14ac:dyDescent="0.25">
      <c r="A5" s="2" t="s">
        <v>155</v>
      </c>
      <c r="B5" s="2" t="str">
        <f>IFERROR(ROUND(AVERAGEIF(Assessment!$A:$A,A5,Assessment!$J:$J),2),"")</f>
        <v/>
      </c>
      <c r="C5" s="2" t="str">
        <f>IFERROR(ROUND(AVERAGEIF(Assessment!$A:$A,A5,Assessment!$K:$K),2),"")</f>
        <v/>
      </c>
      <c r="D5" s="2" t="str">
        <f>IFERROR(ROUND(AVERAGEIF(Assessment!$A:$A,A5,Assessment!$L:$L),2),"")</f>
        <v/>
      </c>
      <c r="E5" s="2" t="str">
        <f>IFERROR(ROUND(AVERAGEIF(Assessment!$A:$A,A5,Assessment!$M:$M),2),"")</f>
        <v/>
      </c>
      <c r="F5" s="2" t="str">
        <f t="shared" si="0"/>
        <v/>
      </c>
      <c r="G5" s="2" t="str">
        <f t="shared" si="1"/>
        <v/>
      </c>
    </row>
    <row r="6" spans="1:7" x14ac:dyDescent="0.25">
      <c r="A6" s="2" t="s">
        <v>200</v>
      </c>
      <c r="B6" s="2" t="str">
        <f>IFERROR(ROUND(AVERAGEIF(Assessment!$A:$A,A6,Assessment!$J:$J),2),"")</f>
        <v/>
      </c>
      <c r="C6" s="2" t="str">
        <f>IFERROR(ROUND(AVERAGEIF(Assessment!$A:$A,A6,Assessment!$K:$K),2),"")</f>
        <v/>
      </c>
      <c r="D6" s="2" t="str">
        <f>IFERROR(ROUND(AVERAGEIF(Assessment!$A:$A,A6,Assessment!$L:$L),2),"")</f>
        <v/>
      </c>
      <c r="E6" s="2" t="str">
        <f>IFERROR(ROUND(AVERAGEIF(Assessment!$A:$A,A6,Assessment!$M:$M),2),"")</f>
        <v/>
      </c>
      <c r="F6" s="2" t="str">
        <f t="shared" si="0"/>
        <v/>
      </c>
      <c r="G6" s="2" t="str">
        <f t="shared" si="1"/>
        <v/>
      </c>
    </row>
    <row r="7" spans="1:7" x14ac:dyDescent="0.25">
      <c r="A7" s="2" t="s">
        <v>245</v>
      </c>
      <c r="B7" s="2" t="str">
        <f>IFERROR(ROUND(AVERAGEIF(Assessment!$A:$A,A7,Assessment!$J:$J),2),"")</f>
        <v/>
      </c>
      <c r="C7" s="2" t="str">
        <f>IFERROR(ROUND(AVERAGEIF(Assessment!$A:$A,A7,Assessment!$K:$K),2),"")</f>
        <v/>
      </c>
      <c r="D7" s="2" t="str">
        <f>IFERROR(ROUND(AVERAGEIF(Assessment!$A:$A,A7,Assessment!$L:$L),2),"")</f>
        <v/>
      </c>
      <c r="E7" s="2" t="str">
        <f>IFERROR(ROUND(AVERAGEIF(Assessment!$A:$A,A7,Assessment!$M:$M),2),"")</f>
        <v/>
      </c>
      <c r="F7" s="2" t="str">
        <f t="shared" si="0"/>
        <v/>
      </c>
      <c r="G7" s="2" t="str">
        <f t="shared" si="1"/>
        <v/>
      </c>
    </row>
    <row r="8" spans="1:7" x14ac:dyDescent="0.25">
      <c r="A8" s="2"/>
      <c r="B8" s="2"/>
      <c r="C8" s="2"/>
      <c r="D8" s="2"/>
      <c r="E8" s="2"/>
      <c r="F8" s="2"/>
      <c r="G8" s="2"/>
    </row>
    <row r="9" spans="1:7" x14ac:dyDescent="0.25">
      <c r="A9" s="3" t="s">
        <v>290</v>
      </c>
      <c r="B9" s="3" t="str">
        <f>IFERROR(ROUND(AVERAGE(B2:B7),2),"")</f>
        <v/>
      </c>
      <c r="C9" s="3" t="str">
        <f>IFERROR(ROUND(AVERAGE(C2:C7),2),"")</f>
        <v/>
      </c>
      <c r="D9" s="3" t="str">
        <f>IFERROR(ROUND(AVERAGE(D2:D7),2),"")</f>
        <v/>
      </c>
      <c r="E9" s="3" t="str">
        <f>IFERROR(ROUND(AVERAGE(E2:E7),2),"")</f>
        <v/>
      </c>
      <c r="F9" s="3" t="str">
        <f>IFERROR(ROUND(AVERAGE(F2:F7),2),"")</f>
        <v/>
      </c>
      <c r="G9" s="3" t="str">
        <f>IF(E9="","",IF(F9&gt;=2,"Alta",IF(F9&gt;=1,"Media","Baja")))</f>
        <v/>
      </c>
    </row>
  </sheetData>
  <autoFilter ref="A1:G9" xr:uid="{00000000-0009-0000-0000-000001000000}"/>
  <conditionalFormatting sqref="B2:B9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C2:C9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D2:D9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E2:E9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48" customWidth="1"/>
    <col min="3" max="6" width="14" customWidth="1"/>
    <col min="7" max="7" width="10" customWidth="1"/>
    <col min="8" max="8" width="12" customWidth="1"/>
    <col min="9" max="9" width="55" customWidth="1"/>
  </cols>
  <sheetData>
    <row r="1" spans="1:9" x14ac:dyDescent="0.25">
      <c r="A1" s="1" t="s">
        <v>0</v>
      </c>
      <c r="B1" s="1" t="s">
        <v>1</v>
      </c>
      <c r="C1" s="1" t="s">
        <v>291</v>
      </c>
      <c r="D1" s="1" t="s">
        <v>292</v>
      </c>
      <c r="E1" s="1" t="s">
        <v>293</v>
      </c>
      <c r="F1" s="1" t="s">
        <v>294</v>
      </c>
      <c r="G1" s="1" t="s">
        <v>295</v>
      </c>
      <c r="H1" s="1" t="s">
        <v>15</v>
      </c>
      <c r="I1" s="1" t="s">
        <v>296</v>
      </c>
    </row>
    <row r="2" spans="1:9" ht="30" x14ac:dyDescent="0.25">
      <c r="A2" s="2" t="str">
        <f>Assessment!A2</f>
        <v>Cierre</v>
      </c>
      <c r="B2" s="2" t="str">
        <f>Assessment!B2</f>
        <v>1.1 Gobierno y calendario de cierre</v>
      </c>
      <c r="C2" s="2">
        <f>Assessment!J2</f>
        <v>0</v>
      </c>
      <c r="D2" s="2">
        <f>Assessment!K2</f>
        <v>0</v>
      </c>
      <c r="E2" s="2">
        <f>Assessment!L2</f>
        <v>0</v>
      </c>
      <c r="F2" s="2" t="str">
        <f>Assessment!M2</f>
        <v/>
      </c>
      <c r="G2" s="2" t="str">
        <f>Assessment!O2</f>
        <v/>
      </c>
      <c r="H2" s="2" t="str">
        <f>Assessment!P2</f>
        <v/>
      </c>
      <c r="I2" s="2" t="str">
        <f>Assessment!I2</f>
        <v>Automated closing checklists; touchless close; proactive defect resolution recommendations</v>
      </c>
    </row>
    <row r="3" spans="1:9" ht="45" x14ac:dyDescent="0.25">
      <c r="A3" s="2" t="str">
        <f>Assessment!A3</f>
        <v>Cierre</v>
      </c>
      <c r="B3" s="2" t="str">
        <f>Assessment!B3</f>
        <v>1.2 Automatización de asientos, accruals y ajustes</v>
      </c>
      <c r="C3" s="2">
        <f>Assessment!J3</f>
        <v>0</v>
      </c>
      <c r="D3" s="2">
        <f>Assessment!K3</f>
        <v>0</v>
      </c>
      <c r="E3" s="2">
        <f>Assessment!L3</f>
        <v>0</v>
      </c>
      <c r="F3" s="2" t="str">
        <f>Assessment!M3</f>
        <v/>
      </c>
      <c r="G3" s="2" t="str">
        <f>Assessment!O3</f>
        <v/>
      </c>
      <c r="H3" s="2" t="str">
        <f>Assessment!P3</f>
        <v/>
      </c>
      <c r="I3" s="2" t="str">
        <f>Assessment!I3</f>
        <v>Identify missing monthly accruals; Journal Entry Automation &amp; Close Value prediction; suspect journal entry monitoring</v>
      </c>
    </row>
    <row r="4" spans="1:9" ht="30" x14ac:dyDescent="0.25">
      <c r="A4" s="2" t="str">
        <f>Assessment!A4</f>
        <v>Cierre</v>
      </c>
      <c r="B4" s="2" t="str">
        <f>Assessment!B4</f>
        <v>1.3 Control de calidad y anomalías del cierre</v>
      </c>
      <c r="C4" s="2">
        <f>Assessment!J4</f>
        <v>0</v>
      </c>
      <c r="D4" s="2">
        <f>Assessment!K4</f>
        <v>0</v>
      </c>
      <c r="E4" s="2">
        <f>Assessment!L4</f>
        <v>0</v>
      </c>
      <c r="F4" s="2" t="str">
        <f>Assessment!M4</f>
        <v/>
      </c>
      <c r="G4" s="2" t="str">
        <f>Assessment!O4</f>
        <v/>
      </c>
      <c r="H4" s="2" t="str">
        <f>Assessment!P4</f>
        <v/>
      </c>
      <c r="I4" s="2" t="str">
        <f>Assessment!I4</f>
        <v>Identify unusual entries during close period; monitor suspect journal entries in real time</v>
      </c>
    </row>
    <row r="5" spans="1:9" ht="30" x14ac:dyDescent="0.25">
      <c r="A5" s="2" t="str">
        <f>Assessment!A5</f>
        <v>Cierre</v>
      </c>
      <c r="B5" s="2" t="str">
        <f>Assessment!B5</f>
        <v>1.4 Eficiencia, coordinación y mejora continua del cierre</v>
      </c>
      <c r="C5" s="2">
        <f>Assessment!J5</f>
        <v>0</v>
      </c>
      <c r="D5" s="2">
        <f>Assessment!K5</f>
        <v>0</v>
      </c>
      <c r="E5" s="2">
        <f>Assessment!L5</f>
        <v>0</v>
      </c>
      <c r="F5" s="2" t="str">
        <f>Assessment!M5</f>
        <v/>
      </c>
      <c r="G5" s="2" t="str">
        <f>Assessment!O5</f>
        <v/>
      </c>
      <c r="H5" s="2" t="str">
        <f>Assessment!P5</f>
        <v/>
      </c>
      <c r="I5" s="2" t="str">
        <f>Assessment!I5</f>
        <v>Capture variations and exceptions in P2P/O2C enabling touchless close; AI-enabled process mining</v>
      </c>
    </row>
    <row r="6" spans="1:9" ht="30" x14ac:dyDescent="0.25">
      <c r="A6" s="2" t="str">
        <f>Assessment!A6</f>
        <v>Consolidación</v>
      </c>
      <c r="B6" s="2" t="str">
        <f>Assessment!B6</f>
        <v>2.1 Modelo de consolidación y perímetro</v>
      </c>
      <c r="C6" s="2">
        <f>Assessment!J6</f>
        <v>0</v>
      </c>
      <c r="D6" s="2">
        <f>Assessment!K6</f>
        <v>0</v>
      </c>
      <c r="E6" s="2">
        <f>Assessment!L6</f>
        <v>0</v>
      </c>
      <c r="F6" s="2" t="str">
        <f>Assessment!M6</f>
        <v/>
      </c>
      <c r="G6" s="2" t="str">
        <f>Assessment!O6</f>
        <v/>
      </c>
      <c r="H6" s="2" t="str">
        <f>Assessment!P6</f>
        <v/>
      </c>
      <c r="I6" s="2" t="str">
        <f>Assessment!I6</f>
        <v>Identify inconsistencies in master data records; guided workflows for master data record changes</v>
      </c>
    </row>
    <row r="7" spans="1:9" ht="30" x14ac:dyDescent="0.25">
      <c r="A7" s="2" t="str">
        <f>Assessment!A7</f>
        <v>Consolidación</v>
      </c>
      <c r="B7" s="2" t="str">
        <f>Assessment!B7</f>
        <v>2.2 Eliminaciones, ajustes y reglas de consolidación</v>
      </c>
      <c r="C7" s="2">
        <f>Assessment!J7</f>
        <v>0</v>
      </c>
      <c r="D7" s="2">
        <f>Assessment!K7</f>
        <v>0</v>
      </c>
      <c r="E7" s="2">
        <f>Assessment!L7</f>
        <v>0</v>
      </c>
      <c r="F7" s="2" t="str">
        <f>Assessment!M7</f>
        <v/>
      </c>
      <c r="G7" s="2" t="str">
        <f>Assessment!O7</f>
        <v/>
      </c>
      <c r="H7" s="2" t="str">
        <f>Assessment!P7</f>
        <v/>
      </c>
      <c r="I7" s="2" t="str">
        <f>Assessment!I7</f>
        <v>Consolidate accounting records under different standards and currencies</v>
      </c>
    </row>
    <row r="8" spans="1:9" ht="30" x14ac:dyDescent="0.25">
      <c r="A8" s="2" t="str">
        <f>Assessment!A8</f>
        <v>Consolidación</v>
      </c>
      <c r="B8" s="2" t="str">
        <f>Assessment!B8</f>
        <v>2.3 Integración multifuente y calidad del dato consolidado</v>
      </c>
      <c r="C8" s="2">
        <f>Assessment!J8</f>
        <v>0</v>
      </c>
      <c r="D8" s="2">
        <f>Assessment!K8</f>
        <v>0</v>
      </c>
      <c r="E8" s="2">
        <f>Assessment!L8</f>
        <v>0</v>
      </c>
      <c r="F8" s="2" t="str">
        <f>Assessment!M8</f>
        <v/>
      </c>
      <c r="G8" s="2" t="str">
        <f>Assessment!O8</f>
        <v/>
      </c>
      <c r="H8" s="2" t="str">
        <f>Assessment!P8</f>
        <v/>
      </c>
      <c r="I8" s="2" t="str">
        <f>Assessment!I8</f>
        <v>Automate financial data across diverse sources; identify inconsistencies in master data records</v>
      </c>
    </row>
    <row r="9" spans="1:9" ht="30" x14ac:dyDescent="0.25">
      <c r="A9" s="2" t="str">
        <f>Assessment!A9</f>
        <v>Consolidación</v>
      </c>
      <c r="B9" s="2" t="str">
        <f>Assessment!B9</f>
        <v>2.4 Reporting consolidado y revisión ejecutiva</v>
      </c>
      <c r="C9" s="2">
        <f>Assessment!J9</f>
        <v>0</v>
      </c>
      <c r="D9" s="2">
        <f>Assessment!K9</f>
        <v>0</v>
      </c>
      <c r="E9" s="2">
        <f>Assessment!L9</f>
        <v>0</v>
      </c>
      <c r="F9" s="2" t="str">
        <f>Assessment!M9</f>
        <v/>
      </c>
      <c r="G9" s="2" t="str">
        <f>Assessment!O9</f>
        <v/>
      </c>
      <c r="H9" s="2" t="str">
        <f>Assessment!P9</f>
        <v/>
      </c>
      <c r="I9" s="2" t="str">
        <f>Assessment!I9</f>
        <v>Consolidate written financial reports; generate account variance analysis and intelligent explanations</v>
      </c>
    </row>
    <row r="10" spans="1:9" x14ac:dyDescent="0.25">
      <c r="A10" s="2" t="str">
        <f>Assessment!A10</f>
        <v>Informes externos</v>
      </c>
      <c r="B10" s="2" t="str">
        <f>Assessment!B10</f>
        <v>3.1 Preparación de estados financieros</v>
      </c>
      <c r="C10" s="2">
        <f>Assessment!J10</f>
        <v>0</v>
      </c>
      <c r="D10" s="2">
        <f>Assessment!K10</f>
        <v>0</v>
      </c>
      <c r="E10" s="2">
        <f>Assessment!L10</f>
        <v>0</v>
      </c>
      <c r="F10" s="2" t="str">
        <f>Assessment!M10</f>
        <v/>
      </c>
      <c r="G10" s="2" t="str">
        <f>Assessment!O10</f>
        <v/>
      </c>
      <c r="H10" s="2" t="str">
        <f>Assessment!P10</f>
        <v/>
      </c>
      <c r="I10" s="2" t="str">
        <f>Assessment!I10</f>
        <v>Automated financial statement preparation</v>
      </c>
    </row>
    <row r="11" spans="1:9" ht="30" x14ac:dyDescent="0.25">
      <c r="A11" s="2" t="str">
        <f>Assessment!A11</f>
        <v>Informes externos</v>
      </c>
      <c r="B11" s="2" t="str">
        <f>Assessment!B11</f>
        <v>3.2 Reporting regulatorio y filings</v>
      </c>
      <c r="C11" s="2">
        <f>Assessment!J11</f>
        <v>0</v>
      </c>
      <c r="D11" s="2">
        <f>Assessment!K11</f>
        <v>0</v>
      </c>
      <c r="E11" s="2">
        <f>Assessment!L11</f>
        <v>0</v>
      </c>
      <c r="F11" s="2" t="str">
        <f>Assessment!M11</f>
        <v/>
      </c>
      <c r="G11" s="2" t="str">
        <f>Assessment!O11</f>
        <v/>
      </c>
      <c r="H11" s="2" t="str">
        <f>Assessment!P11</f>
        <v/>
      </c>
      <c r="I11" s="2" t="str">
        <f>Assessment!I11</f>
        <v>Generate draft regulatory filings; draft sections of 10Q/10K; financial rules and regulations interpretations</v>
      </c>
    </row>
    <row r="12" spans="1:9" ht="30" x14ac:dyDescent="0.25">
      <c r="A12" s="2" t="str">
        <f>Assessment!A12</f>
        <v>Informes externos</v>
      </c>
      <c r="B12" s="2" t="str">
        <f>Assessment!B12</f>
        <v>3.3 Narrative reporting y envío ESEF</v>
      </c>
      <c r="C12" s="2">
        <f>Assessment!J12</f>
        <v>0</v>
      </c>
      <c r="D12" s="2">
        <f>Assessment!K12</f>
        <v>0</v>
      </c>
      <c r="E12" s="2">
        <f>Assessment!L12</f>
        <v>0</v>
      </c>
      <c r="F12" s="2" t="str">
        <f>Assessment!M12</f>
        <v/>
      </c>
      <c r="G12" s="2" t="str">
        <f>Assessment!O12</f>
        <v/>
      </c>
      <c r="H12" s="2" t="str">
        <f>Assessment!P12</f>
        <v/>
      </c>
      <c r="I12" s="2" t="str">
        <f>Assessment!I12</f>
        <v>Narrative MD&amp;A draft generation; consolidate written financial reports into one compliant report</v>
      </c>
    </row>
    <row r="13" spans="1:9" ht="30" x14ac:dyDescent="0.25">
      <c r="A13" s="2" t="str">
        <f>Assessment!A13</f>
        <v>Informes externos</v>
      </c>
      <c r="B13" s="2" t="str">
        <f>Assessment!B13</f>
        <v>3.4 Gobierno, control y auditoría del reporting externo</v>
      </c>
      <c r="C13" s="2">
        <f>Assessment!J13</f>
        <v>0</v>
      </c>
      <c r="D13" s="2">
        <f>Assessment!K13</f>
        <v>0</v>
      </c>
      <c r="E13" s="2">
        <f>Assessment!L13</f>
        <v>0</v>
      </c>
      <c r="F13" s="2" t="str">
        <f>Assessment!M13</f>
        <v/>
      </c>
      <c r="G13" s="2" t="str">
        <f>Assessment!O13</f>
        <v/>
      </c>
      <c r="H13" s="2" t="str">
        <f>Assessment!P13</f>
        <v/>
      </c>
      <c r="I13" s="2" t="str">
        <f>Assessment!I13</f>
        <v>Financial rules interpretations; automated report consolidation; anomaly detection during close</v>
      </c>
    </row>
    <row r="14" spans="1:9" ht="30" x14ac:dyDescent="0.25">
      <c r="A14" s="2" t="str">
        <f>Assessment!A14</f>
        <v>Análisis financiero</v>
      </c>
      <c r="B14" s="2" t="str">
        <f>Assessment!B14</f>
        <v>4.1 Modelo de análisis de variaciones</v>
      </c>
      <c r="C14" s="2">
        <f>Assessment!J14</f>
        <v>0</v>
      </c>
      <c r="D14" s="2">
        <f>Assessment!K14</f>
        <v>0</v>
      </c>
      <c r="E14" s="2">
        <f>Assessment!L14</f>
        <v>0</v>
      </c>
      <c r="F14" s="2" t="str">
        <f>Assessment!M14</f>
        <v/>
      </c>
      <c r="G14" s="2" t="str">
        <f>Assessment!O14</f>
        <v/>
      </c>
      <c r="H14" s="2" t="str">
        <f>Assessment!P14</f>
        <v/>
      </c>
      <c r="I14" s="2" t="str">
        <f>Assessment!I14</f>
        <v>Generate account variance analysis and intelligent explanations</v>
      </c>
    </row>
    <row r="15" spans="1:9" ht="30" x14ac:dyDescent="0.25">
      <c r="A15" s="2" t="str">
        <f>Assessment!A15</f>
        <v>Análisis financiero</v>
      </c>
      <c r="B15" s="2" t="str">
        <f>Assessment!B15</f>
        <v>4.2 Calidad, clasificación y consistencia de datos financieros</v>
      </c>
      <c r="C15" s="2">
        <f>Assessment!J15</f>
        <v>0</v>
      </c>
      <c r="D15" s="2">
        <f>Assessment!K15</f>
        <v>0</v>
      </c>
      <c r="E15" s="2">
        <f>Assessment!L15</f>
        <v>0</v>
      </c>
      <c r="F15" s="2" t="str">
        <f>Assessment!M15</f>
        <v/>
      </c>
      <c r="G15" s="2" t="str">
        <f>Assessment!O15</f>
        <v/>
      </c>
      <c r="H15" s="2" t="str">
        <f>Assessment!P15</f>
        <v/>
      </c>
      <c r="I15" s="2" t="str">
        <f>Assessment!I15</f>
        <v>Identify inconsistencies in master data; identify expense classification errors; generate metadata documentation</v>
      </c>
    </row>
    <row r="16" spans="1:9" ht="30" x14ac:dyDescent="0.25">
      <c r="A16" s="2" t="str">
        <f>Assessment!A16</f>
        <v>Análisis financiero</v>
      </c>
      <c r="B16" s="2" t="str">
        <f>Assessment!B16</f>
        <v>4.3 Insight financiero y explicación de performance</v>
      </c>
      <c r="C16" s="2">
        <f>Assessment!J16</f>
        <v>0</v>
      </c>
      <c r="D16" s="2">
        <f>Assessment!K16</f>
        <v>0</v>
      </c>
      <c r="E16" s="2">
        <f>Assessment!L16</f>
        <v>0</v>
      </c>
      <c r="F16" s="2" t="str">
        <f>Assessment!M16</f>
        <v/>
      </c>
      <c r="G16" s="2" t="str">
        <f>Assessment!O16</f>
        <v/>
      </c>
      <c r="H16" s="2" t="str">
        <f>Assessment!P16</f>
        <v/>
      </c>
      <c r="I16" s="2" t="str">
        <f>Assessment!I16</f>
        <v>FinanceAI Insights Platform; Digital Analyst on demand analytics</v>
      </c>
    </row>
    <row r="17" spans="1:9" ht="30" x14ac:dyDescent="0.25">
      <c r="A17" s="2" t="str">
        <f>Assessment!A17</f>
        <v>Análisis financiero</v>
      </c>
      <c r="B17" s="2" t="str">
        <f>Assessment!B17</f>
        <v>4.4 Análisis predictivo y detección temprana</v>
      </c>
      <c r="C17" s="2">
        <f>Assessment!J17</f>
        <v>0</v>
      </c>
      <c r="D17" s="2">
        <f>Assessment!K17</f>
        <v>0</v>
      </c>
      <c r="E17" s="2">
        <f>Assessment!L17</f>
        <v>0</v>
      </c>
      <c r="F17" s="2" t="str">
        <f>Assessment!M17</f>
        <v/>
      </c>
      <c r="G17" s="2" t="str">
        <f>Assessment!O17</f>
        <v/>
      </c>
      <c r="H17" s="2" t="str">
        <f>Assessment!P17</f>
        <v/>
      </c>
      <c r="I17" s="2" t="str">
        <f>Assessment!I17</f>
        <v>Identify past data patterns to predict and improve future financial performance</v>
      </c>
    </row>
    <row r="18" spans="1:9" ht="30" x14ac:dyDescent="0.25">
      <c r="A18" s="2" t="str">
        <f>Assessment!A18</f>
        <v>Informes internos</v>
      </c>
      <c r="B18" s="2" t="str">
        <f>Assessment!B18</f>
        <v>5.1 Modelo de reporting interno</v>
      </c>
      <c r="C18" s="2">
        <f>Assessment!J18</f>
        <v>0</v>
      </c>
      <c r="D18" s="2">
        <f>Assessment!K18</f>
        <v>0</v>
      </c>
      <c r="E18" s="2">
        <f>Assessment!L18</f>
        <v>0</v>
      </c>
      <c r="F18" s="2" t="str">
        <f>Assessment!M18</f>
        <v/>
      </c>
      <c r="G18" s="2" t="str">
        <f>Assessment!O18</f>
        <v/>
      </c>
      <c r="H18" s="2" t="str">
        <f>Assessment!P18</f>
        <v/>
      </c>
      <c r="I18" s="2" t="str">
        <f>Assessment!I18</f>
        <v>Mgmt reporting actuals/plan/variance + commentary; automate financial data across diverse sources</v>
      </c>
    </row>
    <row r="19" spans="1:9" ht="30" x14ac:dyDescent="0.25">
      <c r="A19" s="2" t="str">
        <f>Assessment!A19</f>
        <v>Informes internos</v>
      </c>
      <c r="B19" s="2" t="str">
        <f>Assessment!B19</f>
        <v>5.2 Integración de datos y single source of truth</v>
      </c>
      <c r="C19" s="2">
        <f>Assessment!J19</f>
        <v>0</v>
      </c>
      <c r="D19" s="2">
        <f>Assessment!K19</f>
        <v>0</v>
      </c>
      <c r="E19" s="2">
        <f>Assessment!L19</f>
        <v>0</v>
      </c>
      <c r="F19" s="2" t="str">
        <f>Assessment!M19</f>
        <v/>
      </c>
      <c r="G19" s="2" t="str">
        <f>Assessment!O19</f>
        <v/>
      </c>
      <c r="H19" s="2" t="str">
        <f>Assessment!P19</f>
        <v/>
      </c>
      <c r="I19" s="2" t="str">
        <f>Assessment!I19</f>
        <v>Automate financial data across diverse sources; identify inconsistencies in master data</v>
      </c>
    </row>
    <row r="20" spans="1:9" x14ac:dyDescent="0.25">
      <c r="A20" s="2" t="str">
        <f>Assessment!A20</f>
        <v>Informes internos</v>
      </c>
      <c r="B20" s="2" t="str">
        <f>Assessment!B20</f>
        <v>5.3 Narrativa de gestión y autoservicio</v>
      </c>
      <c r="C20" s="2">
        <f>Assessment!J20</f>
        <v>0</v>
      </c>
      <c r="D20" s="2">
        <f>Assessment!K20</f>
        <v>0</v>
      </c>
      <c r="E20" s="2">
        <f>Assessment!L20</f>
        <v>0</v>
      </c>
      <c r="F20" s="2" t="str">
        <f>Assessment!M20</f>
        <v/>
      </c>
      <c r="G20" s="2" t="str">
        <f>Assessment!O20</f>
        <v/>
      </c>
      <c r="H20" s="2" t="str">
        <f>Assessment!P20</f>
        <v/>
      </c>
      <c r="I20" s="2" t="str">
        <f>Assessment!I20</f>
        <v>Chat with Finance data; FinanceAI Insights Platform</v>
      </c>
    </row>
    <row r="21" spans="1:9" ht="30" x14ac:dyDescent="0.25">
      <c r="A21" s="2" t="str">
        <f>Assessment!A21</f>
        <v>Informes internos</v>
      </c>
      <c r="B21" s="2" t="str">
        <f>Assessment!B21</f>
        <v>5.4 Rutinas de revisión y acciones de gestión</v>
      </c>
      <c r="C21" s="2">
        <f>Assessment!J21</f>
        <v>0</v>
      </c>
      <c r="D21" s="2">
        <f>Assessment!K21</f>
        <v>0</v>
      </c>
      <c r="E21" s="2">
        <f>Assessment!L21</f>
        <v>0</v>
      </c>
      <c r="F21" s="2" t="str">
        <f>Assessment!M21</f>
        <v/>
      </c>
      <c r="G21" s="2" t="str">
        <f>Assessment!O21</f>
        <v/>
      </c>
      <c r="H21" s="2" t="str">
        <f>Assessment!P21</f>
        <v/>
      </c>
      <c r="I21" s="2" t="str">
        <f>Assessment!I21</f>
        <v>Digital analyst; project-level recommendations; executive financial health overview</v>
      </c>
    </row>
    <row r="22" spans="1:9" x14ac:dyDescent="0.25">
      <c r="A22" s="2" t="str">
        <f>Assessment!A22</f>
        <v>Conciliación intercompany</v>
      </c>
      <c r="B22" s="2" t="str">
        <f>Assessment!B22</f>
        <v>6.1 Gobierno y calendario de conciliación</v>
      </c>
      <c r="C22" s="2">
        <f>Assessment!J22</f>
        <v>0</v>
      </c>
      <c r="D22" s="2">
        <f>Assessment!K22</f>
        <v>0</v>
      </c>
      <c r="E22" s="2">
        <f>Assessment!L22</f>
        <v>0</v>
      </c>
      <c r="F22" s="2" t="str">
        <f>Assessment!M22</f>
        <v/>
      </c>
      <c r="G22" s="2" t="str">
        <f>Assessment!O22</f>
        <v/>
      </c>
      <c r="H22" s="2" t="str">
        <f>Assessment!P22</f>
        <v/>
      </c>
      <c r="I22" s="2" t="str">
        <f>Assessment!I22</f>
        <v>AI-enabled reconciliation; automated closing checklists</v>
      </c>
    </row>
    <row r="23" spans="1:9" ht="30" x14ac:dyDescent="0.25">
      <c r="A23" s="2" t="str">
        <f>Assessment!A23</f>
        <v>Conciliación intercompany</v>
      </c>
      <c r="B23" s="2" t="str">
        <f>Assessment!B23</f>
        <v>6.2 Matching, diferencias y resolución de partidas</v>
      </c>
      <c r="C23" s="2">
        <f>Assessment!J23</f>
        <v>0</v>
      </c>
      <c r="D23" s="2">
        <f>Assessment!K23</f>
        <v>0</v>
      </c>
      <c r="E23" s="2">
        <f>Assessment!L23</f>
        <v>0</v>
      </c>
      <c r="F23" s="2" t="str">
        <f>Assessment!M23</f>
        <v/>
      </c>
      <c r="G23" s="2" t="str">
        <f>Assessment!O23</f>
        <v/>
      </c>
      <c r="H23" s="2" t="str">
        <f>Assessment!P23</f>
        <v/>
      </c>
      <c r="I23" s="2" t="str">
        <f>Assessment!I23</f>
        <v>Reconcile account balances at transaction level to invoices, purchase orders and bank statements</v>
      </c>
    </row>
    <row r="24" spans="1:9" ht="30" x14ac:dyDescent="0.25">
      <c r="A24" s="2" t="str">
        <f>Assessment!A24</f>
        <v>Conciliación intercompany</v>
      </c>
      <c r="B24" s="2" t="str">
        <f>Assessment!B24</f>
        <v>6.3 Prevención y reducción de diferencias recurrentes</v>
      </c>
      <c r="C24" s="2">
        <f>Assessment!J24</f>
        <v>0</v>
      </c>
      <c r="D24" s="2">
        <f>Assessment!K24</f>
        <v>0</v>
      </c>
      <c r="E24" s="2">
        <f>Assessment!L24</f>
        <v>0</v>
      </c>
      <c r="F24" s="2" t="str">
        <f>Assessment!M24</f>
        <v/>
      </c>
      <c r="G24" s="2" t="str">
        <f>Assessment!O24</f>
        <v/>
      </c>
      <c r="H24" s="2" t="str">
        <f>Assessment!P24</f>
        <v/>
      </c>
      <c r="I24" s="2" t="str">
        <f>Assessment!I24</f>
        <v>Predictive compliance monitoring; identify unusual entries during close</v>
      </c>
    </row>
    <row r="25" spans="1:9" ht="30" x14ac:dyDescent="0.25">
      <c r="A25" s="2" t="str">
        <f>Assessment!A25</f>
        <v>Conciliación intercompany</v>
      </c>
      <c r="B25" s="2" t="str">
        <f>Assessment!B25</f>
        <v>6.4 Integración con consolidación y reporting</v>
      </c>
      <c r="C25" s="2">
        <f>Assessment!J25</f>
        <v>0</v>
      </c>
      <c r="D25" s="2">
        <f>Assessment!K25</f>
        <v>0</v>
      </c>
      <c r="E25" s="2">
        <f>Assessment!L25</f>
        <v>0</v>
      </c>
      <c r="F25" s="2" t="str">
        <f>Assessment!M25</f>
        <v/>
      </c>
      <c r="G25" s="2" t="str">
        <f>Assessment!O25</f>
        <v/>
      </c>
      <c r="H25" s="2" t="str">
        <f>Assessment!P25</f>
        <v/>
      </c>
      <c r="I25" s="2" t="str">
        <f>Assessment!I25</f>
        <v>Consolidate accounting records under different standards and currencies; AI reconciliation</v>
      </c>
    </row>
  </sheetData>
  <autoFilter ref="A1:I25" xr:uid="{00000000-0009-0000-0000-000002000000}"/>
  <conditionalFormatting sqref="C2:C25">
    <cfRule type="colorScale" priority="1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D2:D25">
    <cfRule type="colorScale" priority="2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E2:E25">
    <cfRule type="colorScale" priority="3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conditionalFormatting sqref="F2:F25">
    <cfRule type="colorScale" priority="4">
      <colorScale>
        <cfvo type="num" val="1"/>
        <cfvo type="num" val="3"/>
        <cfvo type="num" val="5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48" customWidth="1"/>
    <col min="3" max="3" width="10" customWidth="1"/>
    <col min="4" max="4" width="12" customWidth="1"/>
    <col min="5" max="5" width="75" customWidth="1"/>
    <col min="6" max="6" width="55" customWidth="1"/>
    <col min="7" max="7" width="15" customWidth="1"/>
    <col min="8" max="8" width="20" customWidth="1"/>
    <col min="9" max="9" width="15" customWidth="1"/>
    <col min="10" max="10" width="40" customWidth="1"/>
  </cols>
  <sheetData>
    <row r="1" spans="1:10" x14ac:dyDescent="0.25">
      <c r="A1" s="1" t="s">
        <v>0</v>
      </c>
      <c r="B1" s="1" t="s">
        <v>1</v>
      </c>
      <c r="C1" s="1" t="s">
        <v>295</v>
      </c>
      <c r="D1" s="1" t="s">
        <v>15</v>
      </c>
      <c r="E1" s="1" t="s">
        <v>18</v>
      </c>
      <c r="F1" s="1" t="s">
        <v>297</v>
      </c>
      <c r="G1" s="1" t="s">
        <v>298</v>
      </c>
      <c r="H1" s="1" t="s">
        <v>299</v>
      </c>
      <c r="I1" s="1" t="s">
        <v>300</v>
      </c>
      <c r="J1" s="1" t="s">
        <v>301</v>
      </c>
    </row>
    <row r="2" spans="1:10" ht="30" x14ac:dyDescent="0.25">
      <c r="A2" s="2" t="str">
        <f>Assessment!A2</f>
        <v>Cierre</v>
      </c>
      <c r="B2" s="2" t="str">
        <f>Assessment!B2</f>
        <v>1.1 Gobierno y calendario de cierre</v>
      </c>
      <c r="C2" s="2" t="str">
        <f>Assessment!O2</f>
        <v/>
      </c>
      <c r="D2" s="2" t="str">
        <f>Assessment!P2</f>
        <v/>
      </c>
      <c r="E2" s="2" t="str">
        <f>Assessment!S2</f>
        <v>Implantar gobierno de cierre con calendario, RACI, lista de verificación digital, KPIs y seguimiento de dependencias.</v>
      </c>
      <c r="F2" s="2" t="str">
        <f>Assessment!I2</f>
        <v/>
      </c>
      <c r="G2" s="2" t="str">
        <f t="shared" ref="G2:G25" si="0">IF(D2="Alta","Oleada 1",IF(D2="Media","Oleada 2","Oleada 3"))</f>
        <v>Oleada 3</v>
      </c>
      <c r="H2" s="2"/>
      <c r="I2" s="2" t="s">
        <v>302</v>
      </c>
      <c r="J2" s="2"/>
    </row>
    <row r="3" spans="1:10" ht="45" x14ac:dyDescent="0.25">
      <c r="A3" s="2" t="str">
        <f>Assessment!A3</f>
        <v>Cierre</v>
      </c>
      <c r="B3" s="2" t="str">
        <f>Assessment!B3</f>
        <v>1.2 Automatización de asientos, accruals y ajustes</v>
      </c>
      <c r="C3" s="2" t="str">
        <f>Assessment!O3</f>
        <v/>
      </c>
      <c r="D3" s="2" t="str">
        <f>Assessment!P3</f>
        <v/>
      </c>
      <c r="E3" s="2" t="str">
        <f>Assessment!S3</f>
        <v>Crear modelo de automatización de asientos y periodificaciones con reglas, históricos, validaciones y alertas de omisión.</v>
      </c>
      <c r="F3" s="2" t="str">
        <f>Assessment!I3</f>
        <v/>
      </c>
      <c r="G3" s="2" t="str">
        <f t="shared" si="0"/>
        <v>Oleada 3</v>
      </c>
      <c r="H3" s="2"/>
      <c r="I3" s="2" t="s">
        <v>302</v>
      </c>
      <c r="J3" s="2"/>
    </row>
    <row r="4" spans="1:10" ht="30" x14ac:dyDescent="0.25">
      <c r="A4" s="2" t="str">
        <f>Assessment!A4</f>
        <v>Cierre</v>
      </c>
      <c r="B4" s="2" t="str">
        <f>Assessment!B4</f>
        <v>1.3 Control de calidad y anomalías del cierre</v>
      </c>
      <c r="C4" s="2" t="str">
        <f>Assessment!O4</f>
        <v/>
      </c>
      <c r="D4" s="2" t="str">
        <f>Assessment!P4</f>
        <v/>
      </c>
      <c r="E4" s="2" t="str">
        <f>Assessment!S4</f>
        <v>Implantar monitor de anomalías de cierre con reglas, modelos de detección, puntuación de riesgo y flujo de revisión.</v>
      </c>
      <c r="F4" s="2" t="str">
        <f>Assessment!I4</f>
        <v/>
      </c>
      <c r="G4" s="2" t="str">
        <f t="shared" si="0"/>
        <v>Oleada 3</v>
      </c>
      <c r="H4" s="2"/>
      <c r="I4" s="2" t="s">
        <v>302</v>
      </c>
      <c r="J4" s="2"/>
    </row>
    <row r="5" spans="1:10" ht="30" x14ac:dyDescent="0.25">
      <c r="A5" s="2" t="str">
        <f>Assessment!A5</f>
        <v>Cierre</v>
      </c>
      <c r="B5" s="2" t="str">
        <f>Assessment!B5</f>
        <v>1.4 Eficiencia, coordinación y mejora continua del cierre</v>
      </c>
      <c r="C5" s="2" t="str">
        <f>Assessment!O5</f>
        <v/>
      </c>
      <c r="D5" s="2" t="str">
        <f>Assessment!P5</f>
        <v/>
      </c>
      <c r="E5" s="2" t="str">
        <f>Assessment!S5</f>
        <v>Crear programa de mejora continua del cierre con KPIs, minería de procesos, análisis de excepciones y hoja de ruta de automatización.</v>
      </c>
      <c r="F5" s="2" t="str">
        <f>Assessment!I5</f>
        <v/>
      </c>
      <c r="G5" s="2" t="str">
        <f t="shared" si="0"/>
        <v>Oleada 3</v>
      </c>
      <c r="H5" s="2"/>
      <c r="I5" s="2" t="s">
        <v>302</v>
      </c>
      <c r="J5" s="2"/>
    </row>
    <row r="6" spans="1:10" ht="30" x14ac:dyDescent="0.25">
      <c r="A6" s="2" t="str">
        <f>Assessment!A6</f>
        <v>Consolidación</v>
      </c>
      <c r="B6" s="2" t="str">
        <f>Assessment!B6</f>
        <v>2.1 Modelo de consolidación y perímetro</v>
      </c>
      <c r="C6" s="2" t="str">
        <f>Assessment!O6</f>
        <v/>
      </c>
      <c r="D6" s="2" t="str">
        <f>Assessment!P6</f>
        <v/>
      </c>
      <c r="E6" s="2" t="str">
        <f>Assessment!S6</f>
        <v>Formalizar gobierno de perímetro y jerarquías con flujo de cambios, validaciones y trazabilidad.</v>
      </c>
      <c r="F6" s="2" t="str">
        <f>Assessment!I6</f>
        <v/>
      </c>
      <c r="G6" s="2" t="str">
        <f t="shared" si="0"/>
        <v>Oleada 3</v>
      </c>
      <c r="H6" s="2"/>
      <c r="I6" s="2" t="s">
        <v>302</v>
      </c>
      <c r="J6" s="2"/>
    </row>
    <row r="7" spans="1:10" ht="30" x14ac:dyDescent="0.25">
      <c r="A7" s="2" t="str">
        <f>Assessment!A7</f>
        <v>Consolidación</v>
      </c>
      <c r="B7" s="2" t="str">
        <f>Assessment!B7</f>
        <v>2.2 Eliminaciones, ajustes y reglas de consolidación</v>
      </c>
      <c r="C7" s="2" t="str">
        <f>Assessment!O7</f>
        <v/>
      </c>
      <c r="D7" s="2" t="str">
        <f>Assessment!P7</f>
        <v/>
      </c>
      <c r="E7" s="2" t="str">
        <f>Assessment!S7</f>
        <v>Automatizar reglas de eliminación y ajustes con trazabilidad, validaciones y controles de excepción.</v>
      </c>
      <c r="F7" s="2" t="str">
        <f>Assessment!I7</f>
        <v/>
      </c>
      <c r="G7" s="2" t="str">
        <f t="shared" si="0"/>
        <v>Oleada 3</v>
      </c>
      <c r="H7" s="2"/>
      <c r="I7" s="2" t="s">
        <v>302</v>
      </c>
      <c r="J7" s="2"/>
    </row>
    <row r="8" spans="1:10" ht="30" x14ac:dyDescent="0.25">
      <c r="A8" s="2" t="str">
        <f>Assessment!A8</f>
        <v>Consolidación</v>
      </c>
      <c r="B8" s="2" t="str">
        <f>Assessment!B8</f>
        <v>2.3 Integración multifuente y calidad del dato consolidado</v>
      </c>
      <c r="C8" s="2" t="str">
        <f>Assessment!O8</f>
        <v/>
      </c>
      <c r="D8" s="2" t="str">
        <f>Assessment!P8</f>
        <v/>
      </c>
      <c r="E8" s="2" t="str">
        <f>Assessment!S8</f>
        <v>Implantar capa de integración y calidad de dato para consolidación con validaciones automáticas y gestión de incidencias.</v>
      </c>
      <c r="F8" s="2" t="str">
        <f>Assessment!I8</f>
        <v/>
      </c>
      <c r="G8" s="2" t="str">
        <f t="shared" si="0"/>
        <v>Oleada 3</v>
      </c>
      <c r="H8" s="2"/>
      <c r="I8" s="2" t="s">
        <v>302</v>
      </c>
      <c r="J8" s="2"/>
    </row>
    <row r="9" spans="1:10" ht="30" x14ac:dyDescent="0.25">
      <c r="A9" s="2" t="str">
        <f>Assessment!A9</f>
        <v>Consolidación</v>
      </c>
      <c r="B9" s="2" t="str">
        <f>Assessment!B9</f>
        <v>2.4 Reporting consolidado y revisión ejecutiva</v>
      </c>
      <c r="C9" s="2" t="str">
        <f>Assessment!O9</f>
        <v/>
      </c>
      <c r="D9" s="2" t="str">
        <f>Assessment!P9</f>
        <v/>
      </c>
      <c r="E9" s="2" t="str">
        <f>Assessment!S9</f>
        <v>Desarrollar informes consolidados automatizados con comentario narrativo, explicación de variaciones y control de consistencia.</v>
      </c>
      <c r="F9" s="2" t="str">
        <f>Assessment!I9</f>
        <v/>
      </c>
      <c r="G9" s="2" t="str">
        <f t="shared" si="0"/>
        <v>Oleada 3</v>
      </c>
      <c r="H9" s="2"/>
      <c r="I9" s="2" t="s">
        <v>302</v>
      </c>
      <c r="J9" s="2"/>
    </row>
    <row r="10" spans="1:10" ht="30" x14ac:dyDescent="0.25">
      <c r="A10" s="2" t="str">
        <f>Assessment!A10</f>
        <v>Informes externos</v>
      </c>
      <c r="B10" s="2" t="str">
        <f>Assessment!B10</f>
        <v>3.1 Preparación de estados financieros</v>
      </c>
      <c r="C10" s="2" t="str">
        <f>Assessment!O10</f>
        <v/>
      </c>
      <c r="D10" s="2" t="str">
        <f>Assessment!P10</f>
        <v/>
      </c>
      <c r="E10" s="2" t="str">
        <f>Assessment!S10</f>
        <v>Automatizar preparación de estados financieros y notas con trazabilidad, reglas de validación y revisión formal.</v>
      </c>
      <c r="F10" s="2" t="str">
        <f>Assessment!I10</f>
        <v/>
      </c>
      <c r="G10" s="2" t="str">
        <f t="shared" si="0"/>
        <v>Oleada 3</v>
      </c>
      <c r="H10" s="2"/>
      <c r="I10" s="2" t="s">
        <v>302</v>
      </c>
      <c r="J10" s="2"/>
    </row>
    <row r="11" spans="1:10" ht="30" x14ac:dyDescent="0.25">
      <c r="A11" s="2" t="str">
        <f>Assessment!A11</f>
        <v>Informes externos</v>
      </c>
      <c r="B11" s="2" t="str">
        <f>Assessment!B11</f>
        <v>3.2 Reporting regulatorio y filings</v>
      </c>
      <c r="C11" s="2" t="str">
        <f>Assessment!O11</f>
        <v/>
      </c>
      <c r="D11" s="2" t="str">
        <f>Assessment!P11</f>
        <v/>
      </c>
      <c r="E11" s="2" t="str">
        <f>Assessment!S11</f>
        <v>Implantar flujo de presentaciones a reguladores con generación asistida, validaciones, trazabilidad y seguimiento de cambios normativos.</v>
      </c>
      <c r="F11" s="2" t="str">
        <f>Assessment!I11</f>
        <v/>
      </c>
      <c r="G11" s="2" t="str">
        <f t="shared" si="0"/>
        <v>Oleada 3</v>
      </c>
      <c r="H11" s="2"/>
      <c r="I11" s="2" t="s">
        <v>302</v>
      </c>
      <c r="J11" s="2"/>
    </row>
    <row r="12" spans="1:10" ht="30" x14ac:dyDescent="0.25">
      <c r="A12" s="2" t="str">
        <f>Assessment!A12</f>
        <v>Informes externos</v>
      </c>
      <c r="B12" s="2" t="str">
        <f>Assessment!B12</f>
        <v>3.3 Narrative reporting y envío ESEF</v>
      </c>
      <c r="C12" s="2" t="str">
        <f>Assessment!O12</f>
        <v/>
      </c>
      <c r="D12" s="2" t="str">
        <f>Assessment!P12</f>
        <v/>
      </c>
      <c r="E12" s="2" t="str">
        <f>Assessment!S12</f>
        <v>Crear generador asistido de narrativa financiera con drivers, variaciones, riesgos, versiones y controles.</v>
      </c>
      <c r="F12" s="2" t="str">
        <f>Assessment!I12</f>
        <v/>
      </c>
      <c r="G12" s="2" t="str">
        <f t="shared" si="0"/>
        <v>Oleada 3</v>
      </c>
      <c r="H12" s="2"/>
      <c r="I12" s="2" t="s">
        <v>302</v>
      </c>
      <c r="J12" s="2"/>
    </row>
    <row r="13" spans="1:10" ht="30" x14ac:dyDescent="0.25">
      <c r="A13" s="2" t="str">
        <f>Assessment!A13</f>
        <v>Informes externos</v>
      </c>
      <c r="B13" s="2" t="str">
        <f>Assessment!B13</f>
        <v>3.4 Gobierno, control y auditoría del reporting externo</v>
      </c>
      <c r="C13" s="2" t="str">
        <f>Assessment!O13</f>
        <v/>
      </c>
      <c r="D13" s="2" t="str">
        <f>Assessment!P13</f>
        <v/>
      </c>
      <c r="E13" s="2" t="str">
        <f>Assessment!S13</f>
        <v>Implantar gobierno digital de la información externa con evidencias, flujo de revisión y detección de inconsistencias.</v>
      </c>
      <c r="F13" s="2" t="str">
        <f>Assessment!I13</f>
        <v/>
      </c>
      <c r="G13" s="2" t="str">
        <f t="shared" si="0"/>
        <v>Oleada 3</v>
      </c>
      <c r="H13" s="2"/>
      <c r="I13" s="2" t="s">
        <v>302</v>
      </c>
      <c r="J13" s="2"/>
    </row>
    <row r="14" spans="1:10" ht="30" x14ac:dyDescent="0.25">
      <c r="A14" s="2" t="str">
        <f>Assessment!A14</f>
        <v>Análisis financiero</v>
      </c>
      <c r="B14" s="2" t="str">
        <f>Assessment!B14</f>
        <v>4.1 Modelo de análisis de variaciones</v>
      </c>
      <c r="C14" s="2" t="str">
        <f>Assessment!O14</f>
        <v/>
      </c>
      <c r="D14" s="2" t="str">
        <f>Assessment!P14</f>
        <v/>
      </c>
      <c r="E14" s="2" t="str">
        <f>Assessment!S14</f>
        <v>Crear modelo estándar de análisis de desviaciones con drivers, explicaciones, responsables y acciones.</v>
      </c>
      <c r="F14" s="2" t="str">
        <f>Assessment!I14</f>
        <v/>
      </c>
      <c r="G14" s="2" t="str">
        <f t="shared" si="0"/>
        <v>Oleada 3</v>
      </c>
      <c r="H14" s="2"/>
      <c r="I14" s="2" t="s">
        <v>302</v>
      </c>
      <c r="J14" s="2"/>
    </row>
    <row r="15" spans="1:10" ht="30" x14ac:dyDescent="0.25">
      <c r="A15" s="2" t="str">
        <f>Assessment!A15</f>
        <v>Análisis financiero</v>
      </c>
      <c r="B15" s="2" t="str">
        <f>Assessment!B15</f>
        <v>4.2 Calidad, clasificación y consistencia de datos financieros</v>
      </c>
      <c r="C15" s="2" t="str">
        <f>Assessment!O15</f>
        <v/>
      </c>
      <c r="D15" s="2" t="str">
        <f>Assessment!P15</f>
        <v/>
      </c>
      <c r="E15" s="2" t="str">
        <f>Assessment!S15</f>
        <v>Implementar control de calidad y clasificación financiera con detección de anomalías, metadatos y flujos de corrección.</v>
      </c>
      <c r="F15" s="2" t="str">
        <f>Assessment!I15</f>
        <v/>
      </c>
      <c r="G15" s="2" t="str">
        <f t="shared" si="0"/>
        <v>Oleada 3</v>
      </c>
      <c r="H15" s="2"/>
      <c r="I15" s="2" t="s">
        <v>302</v>
      </c>
      <c r="J15" s="2"/>
    </row>
    <row r="16" spans="1:10" ht="30" x14ac:dyDescent="0.25">
      <c r="A16" s="2" t="str">
        <f>Assessment!A16</f>
        <v>Análisis financiero</v>
      </c>
      <c r="B16" s="2" t="str">
        <f>Assessment!B16</f>
        <v>4.3 Insight financiero y explicación de performance</v>
      </c>
      <c r="C16" s="2" t="str">
        <f>Assessment!O16</f>
        <v/>
      </c>
      <c r="D16" s="2" t="str">
        <f>Assessment!P16</f>
        <v/>
      </c>
      <c r="E16" s="2" t="str">
        <f>Assessment!S16</f>
        <v>Desarrollar capa de análisis financiero con narrativa, drivers, recomendaciones y conexión con decisiones.</v>
      </c>
      <c r="F16" s="2" t="str">
        <f>Assessment!I16</f>
        <v/>
      </c>
      <c r="G16" s="2" t="str">
        <f t="shared" si="0"/>
        <v>Oleada 3</v>
      </c>
      <c r="H16" s="2"/>
      <c r="I16" s="2" t="s">
        <v>302</v>
      </c>
      <c r="J16" s="2"/>
    </row>
    <row r="17" spans="1:10" ht="30" x14ac:dyDescent="0.25">
      <c r="A17" s="2" t="str">
        <f>Assessment!A17</f>
        <v>Análisis financiero</v>
      </c>
      <c r="B17" s="2" t="str">
        <f>Assessment!B17</f>
        <v>4.4 Análisis predictivo y detección temprana</v>
      </c>
      <c r="C17" s="2" t="str">
        <f>Assessment!O17</f>
        <v/>
      </c>
      <c r="D17" s="2" t="str">
        <f>Assessment!P17</f>
        <v/>
      </c>
      <c r="E17" s="2" t="str">
        <f>Assessment!S17</f>
        <v>Implantar modelos predictivos de rendimiento, desviaciones y oportunidades con alertas y recomendaciones.</v>
      </c>
      <c r="F17" s="2" t="str">
        <f>Assessment!I17</f>
        <v/>
      </c>
      <c r="G17" s="2" t="str">
        <f t="shared" si="0"/>
        <v>Oleada 3</v>
      </c>
      <c r="H17" s="2"/>
      <c r="I17" s="2" t="s">
        <v>302</v>
      </c>
      <c r="J17" s="2"/>
    </row>
    <row r="18" spans="1:10" ht="30" x14ac:dyDescent="0.25">
      <c r="A18" s="2" t="str">
        <f>Assessment!A18</f>
        <v>Informes internos</v>
      </c>
      <c r="B18" s="2" t="str">
        <f>Assessment!B18</f>
        <v>5.1 Modelo de reporting interno</v>
      </c>
      <c r="C18" s="2" t="str">
        <f>Assessment!O18</f>
        <v/>
      </c>
      <c r="D18" s="2" t="str">
        <f>Assessment!P18</f>
        <v/>
      </c>
      <c r="E18" s="2" t="str">
        <f>Assessment!S18</f>
        <v>Rediseñar los informes internos con KPIs homologados, automatización, comentario narrativo y navegación al detalle.</v>
      </c>
      <c r="F18" s="2" t="str">
        <f>Assessment!I18</f>
        <v/>
      </c>
      <c r="G18" s="2" t="str">
        <f t="shared" si="0"/>
        <v>Oleada 3</v>
      </c>
      <c r="H18" s="2"/>
      <c r="I18" s="2" t="s">
        <v>302</v>
      </c>
      <c r="J18" s="2"/>
    </row>
    <row r="19" spans="1:10" ht="30" x14ac:dyDescent="0.25">
      <c r="A19" s="2" t="str">
        <f>Assessment!A19</f>
        <v>Informes internos</v>
      </c>
      <c r="B19" s="2" t="str">
        <f>Assessment!B19</f>
        <v>5.2 Integración de datos y single source of truth</v>
      </c>
      <c r="C19" s="2" t="str">
        <f>Assessment!O19</f>
        <v/>
      </c>
      <c r="D19" s="2" t="str">
        <f>Assessment!P19</f>
        <v/>
      </c>
      <c r="E19" s="2" t="str">
        <f>Assessment!S19</f>
        <v>Implantar capa de datos financieros para informes internos con integración, calidad y gobierno de definiciones.</v>
      </c>
      <c r="F19" s="2" t="str">
        <f>Assessment!I19</f>
        <v/>
      </c>
      <c r="G19" s="2" t="str">
        <f t="shared" si="0"/>
        <v>Oleada 3</v>
      </c>
      <c r="H19" s="2"/>
      <c r="I19" s="2" t="s">
        <v>302</v>
      </c>
      <c r="J19" s="2"/>
    </row>
    <row r="20" spans="1:10" ht="30" x14ac:dyDescent="0.25">
      <c r="A20" s="2" t="str">
        <f>Assessment!A20</f>
        <v>Informes internos</v>
      </c>
      <c r="B20" s="2" t="str">
        <f>Assessment!B20</f>
        <v>5.3 Narrativa de gestión y autoservicio</v>
      </c>
      <c r="C20" s="2" t="str">
        <f>Assessment!O20</f>
        <v/>
      </c>
      <c r="D20" s="2" t="str">
        <f>Assessment!P20</f>
        <v/>
      </c>
      <c r="E20" s="2" t="str">
        <f>Assessment!S20</f>
        <v>Habilitar autoservicio financiero gobernado con capa conversacional, narrativa y trazabilidad de definiciones.</v>
      </c>
      <c r="F20" s="2" t="str">
        <f>Assessment!I20</f>
        <v/>
      </c>
      <c r="G20" s="2" t="str">
        <f t="shared" si="0"/>
        <v>Oleada 3</v>
      </c>
      <c r="H20" s="2"/>
      <c r="I20" s="2" t="s">
        <v>302</v>
      </c>
      <c r="J20" s="2"/>
    </row>
    <row r="21" spans="1:10" ht="30" x14ac:dyDescent="0.25">
      <c r="A21" s="2" t="str">
        <f>Assessment!A21</f>
        <v>Informes internos</v>
      </c>
      <c r="B21" s="2" t="str">
        <f>Assessment!B21</f>
        <v>5.4 Rutinas de revisión y acciones de gestión</v>
      </c>
      <c r="C21" s="2" t="str">
        <f>Assessment!O21</f>
        <v/>
      </c>
      <c r="D21" s="2" t="str">
        <f>Assessment!P21</f>
        <v/>
      </c>
      <c r="E21" s="2" t="str">
        <f>Assessment!S21</f>
        <v>Formalizar rutinas de informes internos con decisiones, acciones, responsables, seguimiento y conclusiones automatizadas.</v>
      </c>
      <c r="F21" s="2" t="str">
        <f>Assessment!I21</f>
        <v/>
      </c>
      <c r="G21" s="2" t="str">
        <f t="shared" si="0"/>
        <v>Oleada 3</v>
      </c>
      <c r="H21" s="2"/>
      <c r="I21" s="2" t="s">
        <v>302</v>
      </c>
      <c r="J21" s="2"/>
    </row>
    <row r="22" spans="1:10" ht="30" x14ac:dyDescent="0.25">
      <c r="A22" s="2" t="str">
        <f>Assessment!A22</f>
        <v>Conciliación intercompany</v>
      </c>
      <c r="B22" s="2" t="str">
        <f>Assessment!B22</f>
        <v>6.1 Gobierno y calendario de conciliación</v>
      </c>
      <c r="C22" s="2" t="str">
        <f>Assessment!O22</f>
        <v/>
      </c>
      <c r="D22" s="2" t="str">
        <f>Assessment!P22</f>
        <v/>
      </c>
      <c r="E22" s="2" t="str">
        <f>Assessment!S22</f>
        <v>Diseñar gobierno de conciliación intercompañía con calendario, umbrales, flujo de trabajo y seguimiento de partidas abiertas.</v>
      </c>
      <c r="F22" s="2" t="str">
        <f>Assessment!I22</f>
        <v/>
      </c>
      <c r="G22" s="2" t="str">
        <f t="shared" si="0"/>
        <v>Oleada 3</v>
      </c>
      <c r="H22" s="2"/>
      <c r="I22" s="2" t="s">
        <v>302</v>
      </c>
      <c r="J22" s="2"/>
    </row>
    <row r="23" spans="1:10" ht="30" x14ac:dyDescent="0.25">
      <c r="A23" s="2" t="str">
        <f>Assessment!A23</f>
        <v>Conciliación intercompany</v>
      </c>
      <c r="B23" s="2" t="str">
        <f>Assessment!B23</f>
        <v>6.2 Matching, diferencias y resolución de partidas</v>
      </c>
      <c r="C23" s="2" t="str">
        <f>Assessment!O23</f>
        <v/>
      </c>
      <c r="D23" s="2" t="str">
        <f>Assessment!P23</f>
        <v/>
      </c>
      <c r="E23" s="2" t="str">
        <f>Assessment!S23</f>
        <v>Implantar casación inteligente y flujo de resolución intercompañía con análisis causa-raíz y priorización por materialidad.</v>
      </c>
      <c r="F23" s="2" t="str">
        <f>Assessment!I23</f>
        <v/>
      </c>
      <c r="G23" s="2" t="str">
        <f t="shared" si="0"/>
        <v>Oleada 3</v>
      </c>
      <c r="H23" s="2"/>
      <c r="I23" s="2" t="s">
        <v>302</v>
      </c>
      <c r="J23" s="2"/>
    </row>
    <row r="24" spans="1:10" ht="30" x14ac:dyDescent="0.25">
      <c r="A24" s="2" t="str">
        <f>Assessment!A24</f>
        <v>Conciliación intercompany</v>
      </c>
      <c r="B24" s="2" t="str">
        <f>Assessment!B24</f>
        <v>6.3 Prevención y reducción de diferencias recurrentes</v>
      </c>
      <c r="C24" s="2" t="str">
        <f>Assessment!O24</f>
        <v/>
      </c>
      <c r="D24" s="2" t="str">
        <f>Assessment!P24</f>
        <v/>
      </c>
      <c r="E24" s="2" t="str">
        <f>Assessment!S24</f>
        <v>Crear programa de reducción de diferencias intercompañía con análisis de patrones, acciones preventivas y seguimiento de antigüedad.</v>
      </c>
      <c r="F24" s="2" t="str">
        <f>Assessment!I24</f>
        <v/>
      </c>
      <c r="G24" s="2" t="str">
        <f t="shared" si="0"/>
        <v>Oleada 3</v>
      </c>
      <c r="H24" s="2"/>
      <c r="I24" s="2" t="s">
        <v>302</v>
      </c>
      <c r="J24" s="2"/>
    </row>
    <row r="25" spans="1:10" ht="30" x14ac:dyDescent="0.25">
      <c r="A25" s="2" t="str">
        <f>Assessment!A25</f>
        <v>Conciliación intercompany</v>
      </c>
      <c r="B25" s="2" t="str">
        <f>Assessment!B25</f>
        <v>6.4 Integración con consolidación y reporting</v>
      </c>
      <c r="C25" s="2" t="str">
        <f>Assessment!O25</f>
        <v/>
      </c>
      <c r="D25" s="2" t="str">
        <f>Assessment!P25</f>
        <v/>
      </c>
      <c r="E25" s="2" t="str">
        <f>Assessment!S25</f>
        <v>Integrar conciliación intercompañía con consolidación, eliminaciones, informes y alertas de impacto antes del cierre.</v>
      </c>
      <c r="F25" s="2" t="str">
        <f>Assessment!I25</f>
        <v/>
      </c>
      <c r="G25" s="2" t="str">
        <f t="shared" si="0"/>
        <v>Oleada 3</v>
      </c>
      <c r="H25" s="2"/>
      <c r="I25" s="2" t="s">
        <v>302</v>
      </c>
      <c r="J25" s="2"/>
    </row>
  </sheetData>
  <autoFilter ref="A1:J25" xr:uid="{00000000-0009-0000-0000-000003000000}"/>
  <dataValidations count="1">
    <dataValidation type="list" allowBlank="1" sqref="I2:I25" xr:uid="{00000000-0002-0000-0300-000000000000}">
      <formula1>"No iniciado,En curso,Completado,En riesgo"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48" customWidth="1"/>
    <col min="3" max="3" width="60" customWidth="1"/>
    <col min="4" max="4" width="90" customWidth="1"/>
    <col min="5" max="5" width="45" customWidth="1"/>
  </cols>
  <sheetData>
    <row r="1" spans="1:5" x14ac:dyDescent="0.25">
      <c r="A1" s="1" t="s">
        <v>0</v>
      </c>
      <c r="B1" s="1" t="s">
        <v>1</v>
      </c>
      <c r="C1" s="1" t="s">
        <v>8</v>
      </c>
      <c r="D1" s="1" t="s">
        <v>303</v>
      </c>
      <c r="E1" s="1" t="s">
        <v>304</v>
      </c>
    </row>
    <row r="2" spans="1:5" ht="30" x14ac:dyDescent="0.25">
      <c r="A2" s="2" t="s">
        <v>20</v>
      </c>
      <c r="B2" s="2" t="s">
        <v>21</v>
      </c>
      <c r="C2" s="2" t="s">
        <v>342</v>
      </c>
      <c r="D2" s="2" t="s">
        <v>27</v>
      </c>
      <c r="E2" s="2" t="s">
        <v>305</v>
      </c>
    </row>
    <row r="3" spans="1:5" ht="30" x14ac:dyDescent="0.25">
      <c r="A3" s="2" t="s">
        <v>20</v>
      </c>
      <c r="B3" s="2" t="s">
        <v>32</v>
      </c>
      <c r="C3" s="2" t="s">
        <v>343</v>
      </c>
      <c r="D3" s="2" t="s">
        <v>38</v>
      </c>
      <c r="E3" s="2" t="s">
        <v>305</v>
      </c>
    </row>
    <row r="4" spans="1:5" ht="30" x14ac:dyDescent="0.25">
      <c r="A4" s="2" t="s">
        <v>20</v>
      </c>
      <c r="B4" s="2" t="s">
        <v>43</v>
      </c>
      <c r="C4" s="2" t="s">
        <v>344</v>
      </c>
      <c r="D4" s="2" t="s">
        <v>49</v>
      </c>
      <c r="E4" s="2" t="s">
        <v>305</v>
      </c>
    </row>
    <row r="5" spans="1:5" ht="30" x14ac:dyDescent="0.25">
      <c r="A5" s="2" t="s">
        <v>20</v>
      </c>
      <c r="B5" s="2" t="s">
        <v>54</v>
      </c>
      <c r="C5" s="2" t="s">
        <v>345</v>
      </c>
      <c r="D5" s="2" t="s">
        <v>60</v>
      </c>
      <c r="E5" s="2" t="s">
        <v>305</v>
      </c>
    </row>
    <row r="6" spans="1:5" ht="30" x14ac:dyDescent="0.25">
      <c r="A6" s="2" t="s">
        <v>65</v>
      </c>
      <c r="B6" s="2" t="s">
        <v>66</v>
      </c>
      <c r="C6" s="2" t="s">
        <v>346</v>
      </c>
      <c r="D6" s="2" t="s">
        <v>72</v>
      </c>
      <c r="E6" s="2" t="s">
        <v>305</v>
      </c>
    </row>
    <row r="7" spans="1:5" ht="30" x14ac:dyDescent="0.25">
      <c r="A7" s="2" t="s">
        <v>65</v>
      </c>
      <c r="B7" s="2" t="s">
        <v>77</v>
      </c>
      <c r="C7" s="2" t="s">
        <v>364</v>
      </c>
      <c r="D7" s="2" t="s">
        <v>83</v>
      </c>
      <c r="E7" s="2" t="s">
        <v>305</v>
      </c>
    </row>
    <row r="8" spans="1:5" ht="30" x14ac:dyDescent="0.25">
      <c r="A8" s="2" t="s">
        <v>65</v>
      </c>
      <c r="B8" s="2" t="s">
        <v>88</v>
      </c>
      <c r="C8" s="2" t="s">
        <v>348</v>
      </c>
      <c r="D8" s="2" t="s">
        <v>94</v>
      </c>
      <c r="E8" s="2" t="s">
        <v>305</v>
      </c>
    </row>
    <row r="9" spans="1:5" ht="30" x14ac:dyDescent="0.25">
      <c r="A9" s="2" t="s">
        <v>65</v>
      </c>
      <c r="B9" s="2" t="s">
        <v>99</v>
      </c>
      <c r="C9" s="2" t="s">
        <v>349</v>
      </c>
      <c r="D9" s="2" t="s">
        <v>105</v>
      </c>
      <c r="E9" s="2" t="s">
        <v>305</v>
      </c>
    </row>
    <row r="10" spans="1:5" ht="30" x14ac:dyDescent="0.25">
      <c r="A10" s="2" t="s">
        <v>110</v>
      </c>
      <c r="B10" s="2" t="s">
        <v>111</v>
      </c>
      <c r="C10" s="2" t="s">
        <v>365</v>
      </c>
      <c r="D10" s="2" t="s">
        <v>117</v>
      </c>
      <c r="E10" s="2" t="s">
        <v>305</v>
      </c>
    </row>
    <row r="11" spans="1:5" ht="30" x14ac:dyDescent="0.25">
      <c r="A11" s="2" t="s">
        <v>110</v>
      </c>
      <c r="B11" s="2" t="s">
        <v>122</v>
      </c>
      <c r="C11" s="2" t="s">
        <v>351</v>
      </c>
      <c r="D11" s="2" t="s">
        <v>306</v>
      </c>
      <c r="E11" s="2" t="s">
        <v>305</v>
      </c>
    </row>
    <row r="12" spans="1:5" ht="30" x14ac:dyDescent="0.25">
      <c r="A12" s="2" t="s">
        <v>110</v>
      </c>
      <c r="B12" s="2" t="s">
        <v>307</v>
      </c>
      <c r="C12" s="2" t="s">
        <v>352</v>
      </c>
      <c r="D12" s="2" t="s">
        <v>308</v>
      </c>
      <c r="E12" s="2" t="s">
        <v>305</v>
      </c>
    </row>
    <row r="13" spans="1:5" ht="30" x14ac:dyDescent="0.25">
      <c r="A13" s="2" t="s">
        <v>110</v>
      </c>
      <c r="B13" s="2" t="s">
        <v>144</v>
      </c>
      <c r="C13" s="2" t="s">
        <v>353</v>
      </c>
      <c r="D13" s="2" t="s">
        <v>150</v>
      </c>
      <c r="E13" s="2" t="s">
        <v>305</v>
      </c>
    </row>
    <row r="14" spans="1:5" ht="30" x14ac:dyDescent="0.25">
      <c r="A14" s="2" t="s">
        <v>155</v>
      </c>
      <c r="B14" s="2" t="s">
        <v>156</v>
      </c>
      <c r="C14" s="2" t="s">
        <v>366</v>
      </c>
      <c r="D14" s="2" t="s">
        <v>162</v>
      </c>
      <c r="E14" s="2" t="s">
        <v>305</v>
      </c>
    </row>
    <row r="15" spans="1:5" ht="30" x14ac:dyDescent="0.25">
      <c r="A15" s="2" t="s">
        <v>155</v>
      </c>
      <c r="B15" s="2" t="s">
        <v>167</v>
      </c>
      <c r="C15" s="2" t="s">
        <v>355</v>
      </c>
      <c r="D15" s="2" t="s">
        <v>173</v>
      </c>
      <c r="E15" s="2" t="s">
        <v>305</v>
      </c>
    </row>
    <row r="16" spans="1:5" ht="30" x14ac:dyDescent="0.25">
      <c r="A16" s="2" t="s">
        <v>155</v>
      </c>
      <c r="B16" s="2" t="s">
        <v>178</v>
      </c>
      <c r="C16" s="2" t="s">
        <v>367</v>
      </c>
      <c r="D16" s="2" t="s">
        <v>184</v>
      </c>
      <c r="E16" s="2" t="s">
        <v>305</v>
      </c>
    </row>
    <row r="17" spans="1:5" ht="30" x14ac:dyDescent="0.25">
      <c r="A17" s="2" t="s">
        <v>155</v>
      </c>
      <c r="B17" s="2" t="s">
        <v>189</v>
      </c>
      <c r="C17" s="2" t="s">
        <v>368</v>
      </c>
      <c r="D17" s="2" t="s">
        <v>195</v>
      </c>
      <c r="E17" s="2" t="s">
        <v>305</v>
      </c>
    </row>
    <row r="18" spans="1:5" ht="30" x14ac:dyDescent="0.25">
      <c r="A18" s="2" t="s">
        <v>200</v>
      </c>
      <c r="B18" s="2" t="s">
        <v>201</v>
      </c>
      <c r="C18" s="2" t="s">
        <v>358</v>
      </c>
      <c r="D18" s="2" t="s">
        <v>207</v>
      </c>
      <c r="E18" s="2" t="s">
        <v>305</v>
      </c>
    </row>
    <row r="19" spans="1:5" ht="30" x14ac:dyDescent="0.25">
      <c r="A19" s="2" t="s">
        <v>200</v>
      </c>
      <c r="B19" s="2" t="s">
        <v>212</v>
      </c>
      <c r="C19" s="2" t="s">
        <v>348</v>
      </c>
      <c r="D19" s="2" t="s">
        <v>218</v>
      </c>
      <c r="E19" s="2" t="s">
        <v>305</v>
      </c>
    </row>
    <row r="20" spans="1:5" ht="30" x14ac:dyDescent="0.25">
      <c r="A20" s="2" t="s">
        <v>200</v>
      </c>
      <c r="B20" s="2" t="s">
        <v>223</v>
      </c>
      <c r="C20" s="2" t="s">
        <v>369</v>
      </c>
      <c r="D20" s="2" t="s">
        <v>229</v>
      </c>
      <c r="E20" s="2" t="s">
        <v>305</v>
      </c>
    </row>
    <row r="21" spans="1:5" ht="30" x14ac:dyDescent="0.25">
      <c r="A21" s="2" t="s">
        <v>200</v>
      </c>
      <c r="B21" s="2" t="s">
        <v>234</v>
      </c>
      <c r="C21" s="2" t="s">
        <v>359</v>
      </c>
      <c r="D21" s="2" t="s">
        <v>240</v>
      </c>
      <c r="E21" s="2" t="s">
        <v>305</v>
      </c>
    </row>
    <row r="22" spans="1:5" ht="30" x14ac:dyDescent="0.25">
      <c r="A22" s="2" t="s">
        <v>245</v>
      </c>
      <c r="B22" s="2" t="s">
        <v>246</v>
      </c>
      <c r="C22" s="2" t="s">
        <v>360</v>
      </c>
      <c r="D22" s="2" t="s">
        <v>252</v>
      </c>
      <c r="E22" s="2" t="s">
        <v>305</v>
      </c>
    </row>
    <row r="23" spans="1:5" ht="30" x14ac:dyDescent="0.25">
      <c r="A23" s="2" t="s">
        <v>245</v>
      </c>
      <c r="B23" s="2" t="s">
        <v>257</v>
      </c>
      <c r="C23" s="2" t="s">
        <v>370</v>
      </c>
      <c r="D23" s="2" t="s">
        <v>263</v>
      </c>
      <c r="E23" s="2" t="s">
        <v>305</v>
      </c>
    </row>
    <row r="24" spans="1:5" ht="30" x14ac:dyDescent="0.25">
      <c r="A24" s="2" t="s">
        <v>245</v>
      </c>
      <c r="B24" s="2" t="s">
        <v>268</v>
      </c>
      <c r="C24" s="2" t="s">
        <v>362</v>
      </c>
      <c r="D24" s="2" t="s">
        <v>274</v>
      </c>
      <c r="E24" s="2" t="s">
        <v>305</v>
      </c>
    </row>
    <row r="25" spans="1:5" ht="30" x14ac:dyDescent="0.25">
      <c r="A25" s="2" t="s">
        <v>245</v>
      </c>
      <c r="B25" s="2" t="s">
        <v>279</v>
      </c>
      <c r="C25" s="2" t="s">
        <v>363</v>
      </c>
      <c r="D25" s="2" t="s">
        <v>285</v>
      </c>
      <c r="E25" s="2" t="s">
        <v>305</v>
      </c>
    </row>
  </sheetData>
  <autoFilter ref="A1:E25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8"/>
  <sheetViews>
    <sheetView topLeftCell="A6" workbookViewId="0">
      <selection activeCell="A14" sqref="A14"/>
    </sheetView>
  </sheetViews>
  <sheetFormatPr defaultRowHeight="15" x14ac:dyDescent="0.25"/>
  <cols>
    <col min="1" max="1" width="120" customWidth="1"/>
  </cols>
  <sheetData>
    <row r="1" spans="1:1" x14ac:dyDescent="0.25">
      <c r="A1" s="4" t="s">
        <v>309</v>
      </c>
    </row>
    <row r="3" spans="1:1" x14ac:dyDescent="0.25">
      <c r="A3" s="4" t="s">
        <v>310</v>
      </c>
    </row>
    <row r="4" spans="1:1" x14ac:dyDescent="0.25">
      <c r="A4" t="s">
        <v>311</v>
      </c>
    </row>
    <row r="5" spans="1:1" x14ac:dyDescent="0.25">
      <c r="A5" t="s">
        <v>312</v>
      </c>
    </row>
    <row r="6" spans="1:1" x14ac:dyDescent="0.25">
      <c r="A6" t="s">
        <v>313</v>
      </c>
    </row>
    <row r="7" spans="1:1" x14ac:dyDescent="0.25">
      <c r="A7" t="s">
        <v>314</v>
      </c>
    </row>
    <row r="8" spans="1:1" x14ac:dyDescent="0.25">
      <c r="A8" t="s">
        <v>315</v>
      </c>
    </row>
    <row r="10" spans="1:1" x14ac:dyDescent="0.25">
      <c r="A10" s="4" t="s">
        <v>316</v>
      </c>
    </row>
    <row r="11" spans="1:1" x14ac:dyDescent="0.25">
      <c r="A11" t="s">
        <v>317</v>
      </c>
    </row>
    <row r="12" spans="1:1" x14ac:dyDescent="0.25">
      <c r="A12" t="s">
        <v>318</v>
      </c>
    </row>
    <row r="13" spans="1:1" x14ac:dyDescent="0.25">
      <c r="A13" t="s">
        <v>319</v>
      </c>
    </row>
    <row r="14" spans="1:1" x14ac:dyDescent="0.25">
      <c r="A14" t="s">
        <v>320</v>
      </c>
    </row>
    <row r="15" spans="1:1" x14ac:dyDescent="0.25">
      <c r="A15" t="s">
        <v>321</v>
      </c>
    </row>
    <row r="17" spans="1:1" x14ac:dyDescent="0.25">
      <c r="A17" s="4" t="s">
        <v>322</v>
      </c>
    </row>
    <row r="18" spans="1:1" x14ac:dyDescent="0.25">
      <c r="A18" t="s">
        <v>323</v>
      </c>
    </row>
    <row r="19" spans="1:1" x14ac:dyDescent="0.25">
      <c r="A19" t="s">
        <v>324</v>
      </c>
    </row>
    <row r="20" spans="1:1" x14ac:dyDescent="0.25">
      <c r="A20" t="s">
        <v>325</v>
      </c>
    </row>
    <row r="21" spans="1:1" x14ac:dyDescent="0.25">
      <c r="A21" t="s">
        <v>326</v>
      </c>
    </row>
    <row r="22" spans="1:1" x14ac:dyDescent="0.25">
      <c r="A22" t="s">
        <v>327</v>
      </c>
    </row>
    <row r="24" spans="1:1" x14ac:dyDescent="0.25">
      <c r="A24" s="4" t="s">
        <v>328</v>
      </c>
    </row>
    <row r="25" spans="1:1" x14ac:dyDescent="0.25">
      <c r="A25" t="s">
        <v>329</v>
      </c>
    </row>
    <row r="26" spans="1:1" x14ac:dyDescent="0.25">
      <c r="A26" t="s">
        <v>330</v>
      </c>
    </row>
    <row r="27" spans="1:1" x14ac:dyDescent="0.25">
      <c r="A27" t="s">
        <v>331</v>
      </c>
    </row>
    <row r="28" spans="1:1" x14ac:dyDescent="0.25">
      <c r="A28" t="s">
        <v>332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workbookViewId="0"/>
  </sheetViews>
  <sheetFormatPr defaultRowHeight="15" x14ac:dyDescent="0.25"/>
  <cols>
    <col min="1" max="1" width="28" customWidth="1"/>
    <col min="2" max="2" width="110" customWidth="1"/>
  </cols>
  <sheetData>
    <row r="1" spans="1:2" x14ac:dyDescent="0.25">
      <c r="A1" s="4" t="s">
        <v>333</v>
      </c>
      <c r="B1" s="4"/>
    </row>
    <row r="2" spans="1:2" x14ac:dyDescent="0.25">
      <c r="A2" t="s">
        <v>334</v>
      </c>
      <c r="B2" t="s">
        <v>335</v>
      </c>
    </row>
    <row r="3" spans="1:2" x14ac:dyDescent="0.25">
      <c r="A3" t="s">
        <v>336</v>
      </c>
      <c r="B3" t="s">
        <v>337</v>
      </c>
    </row>
    <row r="4" spans="1:2" x14ac:dyDescent="0.25">
      <c r="A4" t="s">
        <v>338</v>
      </c>
      <c r="B4" t="s">
        <v>339</v>
      </c>
    </row>
    <row r="5" spans="1:2" x14ac:dyDescent="0.25">
      <c r="A5" t="s">
        <v>340</v>
      </c>
      <c r="B5" t="s">
        <v>341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6FA29F310CEA4A92E7055778740EF9" ma:contentTypeVersion="3" ma:contentTypeDescription="Create a new document." ma:contentTypeScope="" ma:versionID="a017abb239fb9c037b5dc0682d70dc57">
  <xsd:schema xmlns:xsd="http://www.w3.org/2001/XMLSchema" xmlns:xs="http://www.w3.org/2001/XMLSchema" xmlns:p="http://schemas.microsoft.com/office/2006/metadata/properties" xmlns:ns2="da3482d0-81c1-4135-8399-90eebe419dbb" targetNamespace="http://schemas.microsoft.com/office/2006/metadata/properties" ma:root="true" ma:fieldsID="d1966c78adab71b0c18f335b24e3dfb8" ns2:_="">
    <xsd:import namespace="da3482d0-81c1-4135-8399-90eebe419d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3482d0-81c1-4135-8399-90eebe419d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62640D3-F4F2-4A54-9986-4EA393580A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212CC9-F5BC-4AF1-83AF-8100ED24B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3482d0-81c1-4135-8399-90eebe419db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49286E2-2E56-46E8-B322-F2C0DE6A19A8}">
  <ds:schemaRefs>
    <ds:schemaRef ds:uri="http://schemas.microsoft.com/office/2006/documentManagement/types"/>
    <ds:schemaRef ds:uri="http://purl.org/dc/elements/1.1/"/>
    <ds:schemaRef ds:uri="da3482d0-81c1-4135-8399-90eebe419dbb"/>
    <ds:schemaRef ds:uri="http://purl.org/dc/terms/"/>
    <ds:schemaRef ds:uri="http://www.w3.org/XML/1998/namespace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Assessment</vt:lpstr>
      <vt:lpstr>Resumen</vt:lpstr>
      <vt:lpstr>Heatmap</vt:lpstr>
      <vt:lpstr>Roadmap</vt:lpstr>
      <vt:lpstr>AI Overlay</vt:lpstr>
      <vt:lpstr>Guias scoring</vt:lpstr>
      <vt:lpstr>Instrucciones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2026-06-30T13:23:57Z</dcterms:created>
  <dcterms:modified xsi:type="dcterms:W3CDTF">2026-07-07T14:50:29Z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0x010100216FA29F310CEA4A92E7055778740EF9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</Properties>
</file>