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myresources.deloitte.com/personal/jcolomerflores_deloitte_es/Documents/00 FINANCE STRATEGY/01 PROYECTO F3M/Transaccional/"/>
    </mc:Choice>
  </mc:AlternateContent>
  <xr:revisionPtr revIDLastSave="0" documentId="8_{7AE8C56F-5DFE-457C-9C0F-1BFC2D4308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ssessment" sheetId="1" r:id="rId1"/>
    <sheet name="Resumen" sheetId="2" r:id="rId2"/>
    <sheet name="Heatmap" sheetId="3" r:id="rId3"/>
    <sheet name="Roadmap" sheetId="4" r:id="rId4"/>
    <sheet name="AI Overlay" sheetId="5" r:id="rId5"/>
    <sheet name="Guias scoring" sheetId="6" r:id="rId6"/>
    <sheet name="Instrucciones" sheetId="7" r:id="rId7"/>
  </sheets>
  <definedNames>
    <definedName name="_xlnm._FilterDatabase" localSheetId="4" hidden="1">'AI Overlay'!$A$1:$E$21</definedName>
    <definedName name="_xlnm._FilterDatabase" localSheetId="0" hidden="1">Assessment!$A$1:$T$21</definedName>
    <definedName name="_xlnm._FilterDatabase" localSheetId="2" hidden="1">Heatmap!$A$1:$I$21</definedName>
    <definedName name="_xlnm._FilterDatabase" localSheetId="1" hidden="1">Resumen!$A$1:$G$8</definedName>
    <definedName name="_xlnm._FilterDatabase" localSheetId="3" hidden="1">Roadmap!$A$1:$J$21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4" l="1"/>
  <c r="E21" i="4"/>
  <c r="B21" i="4"/>
  <c r="A21" i="4"/>
  <c r="F20" i="4"/>
  <c r="E20" i="4"/>
  <c r="B20" i="4"/>
  <c r="A20" i="4"/>
  <c r="F19" i="4"/>
  <c r="E19" i="4"/>
  <c r="B19" i="4"/>
  <c r="A19" i="4"/>
  <c r="F18" i="4"/>
  <c r="E18" i="4"/>
  <c r="B18" i="4"/>
  <c r="A18" i="4"/>
  <c r="F17" i="4"/>
  <c r="E17" i="4"/>
  <c r="B17" i="4"/>
  <c r="A17" i="4"/>
  <c r="F16" i="4"/>
  <c r="E16" i="4"/>
  <c r="B16" i="4"/>
  <c r="A16" i="4"/>
  <c r="F15" i="4"/>
  <c r="E15" i="4"/>
  <c r="B15" i="4"/>
  <c r="A15" i="4"/>
  <c r="F14" i="4"/>
  <c r="E14" i="4"/>
  <c r="B14" i="4"/>
  <c r="A14" i="4"/>
  <c r="F13" i="4"/>
  <c r="E13" i="4"/>
  <c r="B13" i="4"/>
  <c r="A13" i="4"/>
  <c r="F12" i="4"/>
  <c r="E12" i="4"/>
  <c r="B12" i="4"/>
  <c r="A12" i="4"/>
  <c r="F11" i="4"/>
  <c r="E11" i="4"/>
  <c r="B11" i="4"/>
  <c r="A11" i="4"/>
  <c r="F10" i="4"/>
  <c r="E10" i="4"/>
  <c r="B10" i="4"/>
  <c r="A10" i="4"/>
  <c r="F9" i="4"/>
  <c r="E9" i="4"/>
  <c r="B9" i="4"/>
  <c r="A9" i="4"/>
  <c r="F8" i="4"/>
  <c r="E8" i="4"/>
  <c r="B8" i="4"/>
  <c r="A8" i="4"/>
  <c r="F7" i="4"/>
  <c r="E7" i="4"/>
  <c r="B7" i="4"/>
  <c r="A7" i="4"/>
  <c r="F6" i="4"/>
  <c r="E6" i="4"/>
  <c r="B6" i="4"/>
  <c r="A6" i="4"/>
  <c r="F5" i="4"/>
  <c r="E5" i="4"/>
  <c r="B5" i="4"/>
  <c r="A5" i="4"/>
  <c r="F4" i="4"/>
  <c r="E4" i="4"/>
  <c r="B4" i="4"/>
  <c r="A4" i="4"/>
  <c r="F3" i="4"/>
  <c r="E3" i="4"/>
  <c r="B3" i="4"/>
  <c r="A3" i="4"/>
  <c r="F2" i="4"/>
  <c r="E2" i="4"/>
  <c r="B2" i="4"/>
  <c r="A2" i="4"/>
  <c r="I21" i="3"/>
  <c r="E21" i="3"/>
  <c r="D21" i="3"/>
  <c r="C21" i="3"/>
  <c r="B21" i="3"/>
  <c r="A21" i="3"/>
  <c r="I20" i="3"/>
  <c r="E20" i="3"/>
  <c r="D20" i="3"/>
  <c r="C20" i="3"/>
  <c r="B20" i="3"/>
  <c r="A20" i="3"/>
  <c r="I19" i="3"/>
  <c r="E19" i="3"/>
  <c r="D19" i="3"/>
  <c r="C19" i="3"/>
  <c r="B19" i="3"/>
  <c r="A19" i="3"/>
  <c r="I18" i="3"/>
  <c r="E18" i="3"/>
  <c r="D18" i="3"/>
  <c r="C18" i="3"/>
  <c r="B18" i="3"/>
  <c r="A18" i="3"/>
  <c r="I17" i="3"/>
  <c r="E17" i="3"/>
  <c r="D17" i="3"/>
  <c r="C17" i="3"/>
  <c r="B17" i="3"/>
  <c r="A17" i="3"/>
  <c r="I16" i="3"/>
  <c r="E16" i="3"/>
  <c r="D16" i="3"/>
  <c r="C16" i="3"/>
  <c r="B16" i="3"/>
  <c r="A16" i="3"/>
  <c r="I15" i="3"/>
  <c r="E15" i="3"/>
  <c r="D15" i="3"/>
  <c r="C15" i="3"/>
  <c r="B15" i="3"/>
  <c r="A15" i="3"/>
  <c r="I14" i="3"/>
  <c r="E14" i="3"/>
  <c r="D14" i="3"/>
  <c r="C14" i="3"/>
  <c r="B14" i="3"/>
  <c r="A14" i="3"/>
  <c r="I13" i="3"/>
  <c r="E13" i="3"/>
  <c r="D13" i="3"/>
  <c r="C13" i="3"/>
  <c r="B13" i="3"/>
  <c r="A13" i="3"/>
  <c r="I12" i="3"/>
  <c r="E12" i="3"/>
  <c r="D12" i="3"/>
  <c r="C12" i="3"/>
  <c r="B12" i="3"/>
  <c r="A12" i="3"/>
  <c r="I11" i="3"/>
  <c r="E11" i="3"/>
  <c r="D11" i="3"/>
  <c r="C11" i="3"/>
  <c r="B11" i="3"/>
  <c r="A11" i="3"/>
  <c r="I10" i="3"/>
  <c r="E10" i="3"/>
  <c r="D10" i="3"/>
  <c r="C10" i="3"/>
  <c r="B10" i="3"/>
  <c r="A10" i="3"/>
  <c r="I9" i="3"/>
  <c r="E9" i="3"/>
  <c r="D9" i="3"/>
  <c r="C9" i="3"/>
  <c r="B9" i="3"/>
  <c r="A9" i="3"/>
  <c r="I8" i="3"/>
  <c r="E8" i="3"/>
  <c r="D8" i="3"/>
  <c r="C8" i="3"/>
  <c r="B8" i="3"/>
  <c r="A8" i="3"/>
  <c r="I7" i="3"/>
  <c r="E7" i="3"/>
  <c r="D7" i="3"/>
  <c r="C7" i="3"/>
  <c r="B7" i="3"/>
  <c r="A7" i="3"/>
  <c r="I6" i="3"/>
  <c r="E6" i="3"/>
  <c r="D6" i="3"/>
  <c r="C6" i="3"/>
  <c r="B6" i="3"/>
  <c r="A6" i="3"/>
  <c r="I5" i="3"/>
  <c r="E5" i="3"/>
  <c r="D5" i="3"/>
  <c r="C5" i="3"/>
  <c r="B5" i="3"/>
  <c r="A5" i="3"/>
  <c r="I4" i="3"/>
  <c r="E4" i="3"/>
  <c r="D4" i="3"/>
  <c r="C4" i="3"/>
  <c r="B4" i="3"/>
  <c r="A4" i="3"/>
  <c r="I3" i="3"/>
  <c r="E3" i="3"/>
  <c r="D3" i="3"/>
  <c r="C3" i="3"/>
  <c r="B3" i="3"/>
  <c r="A3" i="3"/>
  <c r="I2" i="3"/>
  <c r="E2" i="3"/>
  <c r="D2" i="3"/>
  <c r="C2" i="3"/>
  <c r="B2" i="3"/>
  <c r="A2" i="3"/>
  <c r="D6" i="2"/>
  <c r="C6" i="2"/>
  <c r="B6" i="2"/>
  <c r="D5" i="2"/>
  <c r="C5" i="2"/>
  <c r="B5" i="2"/>
  <c r="D4" i="2"/>
  <c r="C4" i="2"/>
  <c r="B4" i="2"/>
  <c r="D3" i="2"/>
  <c r="C3" i="2"/>
  <c r="B3" i="2"/>
  <c r="D2" i="2"/>
  <c r="D8" i="2" s="1"/>
  <c r="C2" i="2"/>
  <c r="C8" i="2" s="1"/>
  <c r="B2" i="2"/>
  <c r="B8" i="2" s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F2" i="3" l="1"/>
  <c r="E2" i="2"/>
  <c r="P2" i="1"/>
  <c r="O2" i="1"/>
  <c r="N2" i="1"/>
  <c r="F3" i="3"/>
  <c r="P3" i="1"/>
  <c r="O3" i="1"/>
  <c r="N3" i="1"/>
  <c r="F4" i="3"/>
  <c r="P4" i="1"/>
  <c r="O4" i="1"/>
  <c r="N4" i="1"/>
  <c r="F5" i="3"/>
  <c r="P5" i="1"/>
  <c r="O5" i="1"/>
  <c r="N5" i="1"/>
  <c r="F6" i="3"/>
  <c r="E3" i="2"/>
  <c r="P6" i="1"/>
  <c r="O6" i="1"/>
  <c r="N6" i="1"/>
  <c r="F7" i="3"/>
  <c r="P7" i="1"/>
  <c r="O7" i="1"/>
  <c r="N7" i="1"/>
  <c r="F8" i="3"/>
  <c r="P8" i="1"/>
  <c r="O8" i="1"/>
  <c r="N8" i="1"/>
  <c r="F9" i="3"/>
  <c r="P9" i="1"/>
  <c r="O9" i="1"/>
  <c r="N9" i="1"/>
  <c r="F10" i="3"/>
  <c r="E4" i="2"/>
  <c r="P10" i="1"/>
  <c r="O10" i="1"/>
  <c r="N10" i="1"/>
  <c r="F11" i="3"/>
  <c r="P11" i="1"/>
  <c r="O11" i="1"/>
  <c r="N11" i="1"/>
  <c r="F12" i="3"/>
  <c r="P12" i="1"/>
  <c r="O12" i="1"/>
  <c r="N12" i="1"/>
  <c r="F13" i="3"/>
  <c r="P13" i="1"/>
  <c r="O13" i="1"/>
  <c r="N13" i="1"/>
  <c r="F14" i="3"/>
  <c r="E5" i="2"/>
  <c r="P14" i="1"/>
  <c r="O14" i="1"/>
  <c r="N14" i="1"/>
  <c r="F15" i="3"/>
  <c r="P15" i="1"/>
  <c r="O15" i="1"/>
  <c r="N15" i="1"/>
  <c r="F16" i="3"/>
  <c r="P16" i="1"/>
  <c r="O16" i="1"/>
  <c r="N16" i="1"/>
  <c r="F17" i="3"/>
  <c r="P17" i="1"/>
  <c r="O17" i="1"/>
  <c r="N17" i="1"/>
  <c r="F18" i="3"/>
  <c r="E6" i="2"/>
  <c r="P18" i="1"/>
  <c r="O18" i="1"/>
  <c r="N18" i="1"/>
  <c r="F19" i="3"/>
  <c r="P19" i="1"/>
  <c r="O19" i="1"/>
  <c r="N19" i="1"/>
  <c r="F20" i="3"/>
  <c r="P20" i="1"/>
  <c r="O20" i="1"/>
  <c r="N20" i="1"/>
  <c r="F21" i="3"/>
  <c r="P21" i="1"/>
  <c r="O21" i="1"/>
  <c r="N21" i="1"/>
  <c r="C21" i="4" l="1"/>
  <c r="G21" i="3"/>
  <c r="D21" i="4"/>
  <c r="G21" i="4" s="1"/>
  <c r="H21" i="3"/>
  <c r="C20" i="4"/>
  <c r="G20" i="3"/>
  <c r="D20" i="4"/>
  <c r="G20" i="4" s="1"/>
  <c r="H20" i="3"/>
  <c r="C19" i="4"/>
  <c r="G19" i="3"/>
  <c r="D19" i="4"/>
  <c r="G19" i="4" s="1"/>
  <c r="H19" i="3"/>
  <c r="C18" i="4"/>
  <c r="G18" i="3"/>
  <c r="D18" i="4"/>
  <c r="G18" i="4" s="1"/>
  <c r="H18" i="3"/>
  <c r="G6" i="2"/>
  <c r="F6" i="2"/>
  <c r="C17" i="4"/>
  <c r="G17" i="3"/>
  <c r="D17" i="4"/>
  <c r="G17" i="4" s="1"/>
  <c r="H17" i="3"/>
  <c r="C16" i="4"/>
  <c r="G16" i="3"/>
  <c r="D16" i="4"/>
  <c r="G16" i="4" s="1"/>
  <c r="H16" i="3"/>
  <c r="C15" i="4"/>
  <c r="G15" i="3"/>
  <c r="D15" i="4"/>
  <c r="G15" i="4" s="1"/>
  <c r="H15" i="3"/>
  <c r="C14" i="4"/>
  <c r="G14" i="3"/>
  <c r="D14" i="4"/>
  <c r="G14" i="4" s="1"/>
  <c r="H14" i="3"/>
  <c r="G5" i="2"/>
  <c r="F5" i="2"/>
  <c r="C13" i="4"/>
  <c r="G13" i="3"/>
  <c r="D13" i="4"/>
  <c r="G13" i="4" s="1"/>
  <c r="H13" i="3"/>
  <c r="C12" i="4"/>
  <c r="G12" i="3"/>
  <c r="D12" i="4"/>
  <c r="G12" i="4" s="1"/>
  <c r="H12" i="3"/>
  <c r="C11" i="4"/>
  <c r="G11" i="3"/>
  <c r="D11" i="4"/>
  <c r="G11" i="4" s="1"/>
  <c r="H11" i="3"/>
  <c r="C10" i="4"/>
  <c r="G10" i="3"/>
  <c r="D10" i="4"/>
  <c r="G10" i="4" s="1"/>
  <c r="H10" i="3"/>
  <c r="G4" i="2"/>
  <c r="F4" i="2"/>
  <c r="C9" i="4"/>
  <c r="G9" i="3"/>
  <c r="D9" i="4"/>
  <c r="G9" i="4" s="1"/>
  <c r="H9" i="3"/>
  <c r="C8" i="4"/>
  <c r="G8" i="3"/>
  <c r="D8" i="4"/>
  <c r="G8" i="4" s="1"/>
  <c r="H8" i="3"/>
  <c r="C7" i="4"/>
  <c r="G7" i="3"/>
  <c r="D7" i="4"/>
  <c r="G7" i="4" s="1"/>
  <c r="H7" i="3"/>
  <c r="C6" i="4"/>
  <c r="G6" i="3"/>
  <c r="D6" i="4"/>
  <c r="G6" i="4" s="1"/>
  <c r="H6" i="3"/>
  <c r="G3" i="2"/>
  <c r="F3" i="2"/>
  <c r="C5" i="4"/>
  <c r="G5" i="3"/>
  <c r="D5" i="4"/>
  <c r="G5" i="4" s="1"/>
  <c r="H5" i="3"/>
  <c r="C4" i="4"/>
  <c r="G4" i="3"/>
  <c r="D4" i="4"/>
  <c r="G4" i="4" s="1"/>
  <c r="H4" i="3"/>
  <c r="C3" i="4"/>
  <c r="G3" i="3"/>
  <c r="D3" i="4"/>
  <c r="G3" i="4" s="1"/>
  <c r="H3" i="3"/>
  <c r="C2" i="4"/>
  <c r="G2" i="3"/>
  <c r="D2" i="4"/>
  <c r="G2" i="4" s="1"/>
  <c r="H2" i="3"/>
  <c r="E8" i="2"/>
  <c r="G8" i="2" s="1"/>
  <c r="G2" i="2"/>
  <c r="F2" i="2"/>
  <c r="F8" i="2" s="1"/>
</calcChain>
</file>

<file path=xl/sharedStrings.xml><?xml version="1.0" encoding="utf-8"?>
<sst xmlns="http://schemas.openxmlformats.org/spreadsheetml/2006/main" count="452" uniqueCount="316">
  <si>
    <t>Capacidad</t>
  </si>
  <si>
    <t>Subcapacidad</t>
  </si>
  <si>
    <t>Objetivo de evaluación</t>
  </si>
  <si>
    <t>Nivel 1 - Inicial</t>
  </si>
  <si>
    <t>Nivel 2 - Estructurado</t>
  </si>
  <si>
    <t>Nivel 3 - Estandarizado</t>
  </si>
  <si>
    <t>Nivel 4 - Optimizado</t>
  </si>
  <si>
    <t>Nivel 5 - Avanzado/Referente</t>
  </si>
  <si>
    <t>Casos de uso AI asociados</t>
  </si>
  <si>
    <t>Score Procesos</t>
  </si>
  <si>
    <t>Score Tecnología</t>
  </si>
  <si>
    <t>Score Organización</t>
  </si>
  <si>
    <t>Score Medio</t>
  </si>
  <si>
    <t>Nivel resultante</t>
  </si>
  <si>
    <t>Gap vs objetivo</t>
  </si>
  <si>
    <t>Prioridad</t>
  </si>
  <si>
    <t>Preguntas clave</t>
  </si>
  <si>
    <t>Evidencias</t>
  </si>
  <si>
    <t>Iniciativa sugerida</t>
  </si>
  <si>
    <t>Comentarios / hallazgos</t>
  </si>
  <si>
    <t>Source-to-Pay</t>
  </si>
  <si>
    <t>1.1 Estrategia de compras, categorías y demanda</t>
  </si>
  <si>
    <t>Evaluar si la organización planifica la demanda de compras, gestiona categorías y conecta sourcing con necesidades del negocio.</t>
  </si>
  <si>
    <t>Compras reactivas, sin visión de demanda ni planificación por categoría.</t>
  </si>
  <si>
    <t>Categorías básicas y demanda estimada de forma parcial, con alta dependencia de peticiones ad hoc.</t>
  </si>
  <si>
    <t>Modelo de categorías y planificación de demanda definido, con criterios de priorización y responsables.</t>
  </si>
  <si>
    <t>Planificación integrada con negocio, contratos y presupuestos, con análisis de gasto y demanda recurrente.</t>
  </si>
  <si>
    <t>Planificación predictiva del gasto y la demanda de terceros a partir de contratos, histórico y señales externas, con recomendación de aprovisionamiento y de calendario.</t>
  </si>
  <si>
    <t>Previsión del gasto mensual de todos los contratos con terceros con datos del sistema de gestión de contratos; Logística y planificación resilientes</t>
  </si>
  <si>
    <t>¿Existe planificación de demanda de compras?
¿Se trabaja por categorías?
¿Se conecta con presupuesto/forecast?
¿Se anticipan necesidades recurrentes?</t>
  </si>
  <si>
    <t>Plan de compras; category plans; forecast de gasto; contratos; presupuestos; análisis spend.</t>
  </si>
  <si>
    <t>Implantar planificación de demanda de compras por categoría con previsión de gasto contractual y conexión con presupuesto.</t>
  </si>
  <si>
    <t>1.2 Selección, evaluación y gestión de proveedores</t>
  </si>
  <si>
    <t>Evaluar madurez del ciclo de evaluación, homologación, performance y riesgo de proveedores.</t>
  </si>
  <si>
    <t>Selección manual y reactiva de proveedores, sin criterios homogéneos ni evaluación recurrente.</t>
  </si>
  <si>
    <t>Homologación básica, con criterios documentados parcialmente y seguimiento limitado.</t>
  </si>
  <si>
    <t>Proceso estándar de evaluación, homologación y seguimiento de performance/proveedor.</t>
  </si>
  <si>
    <t>Gestión integrada de desempeño, riesgos, cumplimiento y oportunidades de mejora por proveedor.</t>
  </si>
  <si>
    <t>Motor de IA para evaluar proveedores y el riesgo de la cadena de suministro, con recomendación de selección y de negociación según desempeño, riesgo y contexto externo.</t>
  </si>
  <si>
    <t>Logística y planificación resilientes; IA de evaluación de proveedores; Redacción de contratos y SoW</t>
  </si>
  <si>
    <t>¿Hay criterios de homologación?
¿Se mide performance?
¿Se evalúa riesgo proveedor?
¿Se usan datos externos?</t>
  </si>
  <si>
    <t>Scorecards proveedor; homologaciones; SLAs; incidencias; evaluación de riesgo; contratos.</t>
  </si>
  <si>
    <t>Crear modelo de inteligencia de proveedores con indicadores de desempeño, riesgo, cumplimiento y recomendaciones de aprovisionamiento.</t>
  </si>
  <si>
    <t>1.3 Gestión contractual, RFPs y SoWs</t>
  </si>
  <si>
    <t>Evaluar si la función gestiona contratos, RFPs y SoWs de forma estructurada, trazable y eficiente.</t>
  </si>
  <si>
    <t>Contratos y RFPs manuales, dispersos y poco trazables.</t>
  </si>
  <si>
    <t>Plantillas básicas y repositorio parcial, con revisión manual intensiva.</t>
  </si>
  <si>
    <t>Proceso estándar para RFPs, contratos y SoWs, con plantillas, aprobaciones y repositorio central.</t>
  </si>
  <si>
    <t>Gestión contractual integrada con compras, legal, presupuesto y proveedores, con alertas y trazabilidad de cambios.</t>
  </si>
  <si>
    <t>Asistente IA para generar RFP, contratos y SoW, extraer cláusulas, analizar riesgos y recomendar condiciones financieras/comerciales.</t>
  </si>
  <si>
    <t>Redacción de contratos y SoW; Asistente de RFP y de conocimiento impulsado por IA; Previsión del gasto mensual con datos del sistema de gestión de contratos</t>
  </si>
  <si>
    <t>¿Existe repositorio contractual?
¿Hay plantillas estándar?
¿Se analizan cláusulas financieras?
¿Se monitorizan vencimientos y obligaciones?</t>
  </si>
  <si>
    <t>Contratos; RFPs; SoWs; repositorio; workflow de aprobación; matriz de cláusulas; contratos vencidos.</t>
  </si>
  <si>
    <t>Implantar asistente contractual IA para generación, revisión y explotación financiera de contratos y SoWs.</t>
  </si>
  <si>
    <t>1.4 Orden de compra, recepción y aprobación</t>
  </si>
  <si>
    <t>Evaluar el grado de control, automatización y cumplimiento del proceso desde solicitud hasta recepción/aprobación.</t>
  </si>
  <si>
    <t>Solicitudes, órdenes y aprobaciones manuales, con baja trazabilidad y controles débiles.</t>
  </si>
  <si>
    <t>Workflow parcial, autorizaciones básicas y controles manuales de recepción/factura.</t>
  </si>
  <si>
    <t>Proceso estándar de PR/PO, recepción y aprobaciones, con reglas y responsabilidades claras.</t>
  </si>
  <si>
    <t>Workflow integrado con catálogo, recepción, presupuesto, contrato y controles automáticos.</t>
  </si>
  <si>
    <t>IA recomienda momento óptimo de pagos/compras, detecta excepciones operativas y prioriza aprobaciones según impacto en caja, contrato y riesgo.</t>
  </si>
  <si>
    <t>Recomendación del momento óptimo de pago; Recomendaciones proactivas para la resolución de incidencias; Flujos guiados y adaptables para cambios en datos maestros</t>
  </si>
  <si>
    <t>¿Qué % de compras tiene PO?
¿Se controlan recepciones?
¿Hay aprobaciones por umbrales?
¿Se detectan excepciones?</t>
  </si>
  <si>
    <t>PR/PO; workflow; recepción; aprobaciones; excepciones; controles presupuestarios.</t>
  </si>
  <si>
    <t>Digitalizar el flujo de solicitud, pedido y recepción con controles automáticos, excepciones y recomendaciones de aprobación y pago.</t>
  </si>
  <si>
    <t>Order-to-Cash</t>
  </si>
  <si>
    <t>2.1 Gestión de pedidos, contratos y condiciones comerciales</t>
  </si>
  <si>
    <t>Evaluar si pedidos y condiciones comerciales se gestionan con control, trazabilidad y consistencia.</t>
  </si>
  <si>
    <t>Pedidos y condiciones gestionados manualmente, con dispersión de criterios y errores frecuentes.</t>
  </si>
  <si>
    <t>Proceso básico definido, aunque con validaciones manuales y excepciones recurrentes.</t>
  </si>
  <si>
    <t>Modelo estándar de entrada de pedidos, validación comercial y control de condiciones.</t>
  </si>
  <si>
    <t>Pedidos integrados con contratos, pricing, crédito, facturación y controles automáticos.</t>
  </si>
  <si>
    <t>Asistente IA analiza contratos/pedidos, valida obligaciones y condiciones comerciales, y recomienda acciones para evitar errores, fuga de ingresos o disputas.</t>
  </si>
  <si>
    <t>Lectura de contratos de cliente e identificación de obligaciones de desempeño; Identificación y corrección proactiva de fugas de ingresos; Asistente de IA para la compra y el leasing de vehículos</t>
  </si>
  <si>
    <t>¿Qué validaciones existen sobre pedidos?
¿Se conectan contratos y pricing?
¿Se detectan condiciones atípicas?
¿Se controla leakage?</t>
  </si>
  <si>
    <t>Pedidos; contratos; pricing; aprobaciones; incidencias; ajustes comerciales; revenue leakage.</t>
  </si>
  <si>
    <t>Crear controles automáticos de pedido/contrato/precio con detección de condiciones atípicas y fugas de ingresos.</t>
  </si>
  <si>
    <t>2.2 Facturación y emisión de documentos</t>
  </si>
  <si>
    <t>Evaluar automatización, exactitud, trazabilidad y control del proceso de facturación.</t>
  </si>
  <si>
    <t>Facturación manual, con errores frecuentes y correcciones reactivas.</t>
  </si>
  <si>
    <t>Plantillas y controles básicos, con validación manual relevante.</t>
  </si>
  <si>
    <t>Proceso de facturación estándar, con reglas documentadas y controles recurrentes.</t>
  </si>
  <si>
    <t>Facturación integrada con pedidos, contratos, impuestos, entregas y controles automáticos de error.</t>
  </si>
  <si>
    <t>Detección/corrección IA de errores de factura y generación de facturas personalizadas para pedidos no estándar, con validación fiscal/contable.</t>
  </si>
  <si>
    <t>Detección y corrección automatizada de errores en facturas; Generación de facturas personalizadas para pedidos de cliente no estándar</t>
  </si>
  <si>
    <t>¿Qué errores de factura son recurrentes?
¿La factura sale del pedido/contrato?
¿Hay validación fiscal?
¿Se mide first-time-right?</t>
  </si>
  <si>
    <t>Facturas; notas de crédito; errores; controles; logs de emisión; KPI first-time-right.</t>
  </si>
  <si>
    <t>Implantar motor IA de validación y corrección preventiva de facturas antes de emisión.</t>
  </si>
  <si>
    <t>2.3 Cobros, aplicación de pagos y gestión de disputas</t>
  </si>
  <si>
    <t>Evaluar si los cobros, cash application y disputas se gestionan de forma eficiente y orientada a caja.</t>
  </si>
  <si>
    <t>Conciliación de cobros manual, disputas reactivas y baja visibilidad de aging.</t>
  </si>
  <si>
    <t>Proceso básico de cobros con seguimientos manuales y criterios variables.</t>
  </si>
  <si>
    <t>Modelo estándar de cash application, aging, dunning y gestión de disputas.</t>
  </si>
  <si>
    <t>Cash application automatizada, segmentación de cartera, workflow de disputas y control de aging/DSO.</t>
  </si>
  <si>
    <t>Un asistente de IA identifica las brechas de cobro, automatiza el contacto con el cliente, recomienda las condiciones de pago que mejoran el DSO y apoya la recuperación de ingresos y la gestión de disputas.</t>
  </si>
  <si>
    <t>Facilitación del cobro para identificar brechas de recobro y automatizar el contacto; Recomendación de condiciones de pago óptimas para mejorar el DSO; Cartas de recurso ante denegaciones</t>
  </si>
  <si>
    <t>¿Cómo se aplican cobros?
¿Se monitoriza DSO?
¿Hay workflow de disputas?
¿Se segmenta la cartera?</t>
  </si>
  <si>
    <t>Aging; DSO; cash application; disputas; recordatorios; comunicaciones; write-offs.</t>
  </si>
  <si>
    <t>Desplegar asistente inteligente de gestión de cobros con priorización, contacto automatizado con clientes y recomendaciones de condiciones.</t>
  </si>
  <si>
    <t>2.4 Crédito, riesgo cliente y control de exposición</t>
  </si>
  <si>
    <t>Evaluar el control de crédito, límites, exposición y riesgo asociado a clientes.</t>
  </si>
  <si>
    <t>Límites de crédito informales o manuales, con revisiones esporádicas.</t>
  </si>
  <si>
    <t>Políticas básicas de crédito y revisión manual de excepciones.</t>
  </si>
  <si>
    <t>Modelo de crédito definido, con límites, aprobaciones y seguimiento periódico.</t>
  </si>
  <si>
    <t>Riesgo cliente integrado con pedidos, cobros, aging, límites y alertas de exposición.</t>
  </si>
  <si>
    <t>Puntuación dinámica con IA del cliente y del riesgo de cobro, con alertas tempranas y recomendación de bloqueo o liberación y de condiciones comerciales.</t>
  </si>
  <si>
    <t>Agentes de IA para el análisis de riesgo crediticio; Predicción de retrasos en el pago o impagos; Recomendación de condiciones de pago óptimas para mejorar el DSO</t>
  </si>
  <si>
    <t>¿Existen límites de crédito?
¿Se actualizan dinámicamente?
¿Se controla exposición?
¿Se anticipan impagos?</t>
  </si>
  <si>
    <t>Política de crédito; límites; aging; históricos de impago; aprobaciones; alertas de riesgo.</t>
  </si>
  <si>
    <t>Construir modelo predictivo de riesgo cliente con recomendaciones de límite, términos y acciones preventivas.</t>
  </si>
  <si>
    <t>Activos fijos / Gestión de activos</t>
  </si>
  <si>
    <t>3.1 Alta, capitalización y clasificación de activos</t>
  </si>
  <si>
    <t>Evaluar el gobierno del alta, clasificación, capitalización y registro de activos fijos.</t>
  </si>
  <si>
    <t>Altas manuales, criterios variables y documentación incompleta.</t>
  </si>
  <si>
    <t>Proceso básico de alta y capitalización, con revisiones manuales puntuales.</t>
  </si>
  <si>
    <t>Políticas de capitalización y clasificación documentadas y aplicadas de forma consistente.</t>
  </si>
  <si>
    <t>Proceso integrado con compras, proyectos, contabilidad y control presupuestario.</t>
  </si>
  <si>
    <t>IA ayuda a clasificar gastos vs activos, detectar errores de codificación y generar metadatos/documentación de activos.</t>
  </si>
  <si>
    <t>Identificación de errores de clasificación de gastos; Generación de documentación de metadatos; Flujos guiados y adaptables para cambios en datos maestros</t>
  </si>
  <si>
    <t>¿Están claras las políticas CAPEX/OPEX?
¿Se registran altas con soporte completo?
¿Hay errores de clasificación?</t>
  </si>
  <si>
    <t>Política CAPEX; altas de activos; facturas; órdenes de compra; controles; maestro de activos.</t>
  </si>
  <si>
    <t>Implantar clasificación asistida CAPEX/OPEX y flujo de alta de activos con controles de soporte documental.</t>
  </si>
  <si>
    <t>3.2 Inventario, localización y trazabilidad de activos</t>
  </si>
  <si>
    <t>Evaluar la exactitud del inventario físico/contable, localización y trazabilidad del ciclo de vida de activos.</t>
  </si>
  <si>
    <t>Inventario no actualizado, conciliaciones manuales y baja trazabilidad física/contable.</t>
  </si>
  <si>
    <t>Inventarios periódicos y conciliaciones básicas, con incidencias recurrentes.</t>
  </si>
  <si>
    <t>Inventario contable y físico conciliado de forma recurrente, con owners y evidencias.</t>
  </si>
  <si>
    <t>Trazabilidad integrada de altas, bajas, traslados, mantenimiento, ubicación y estado de activos.</t>
  </si>
  <si>
    <t>La IA, apoyada en sensorización digital, detecta inconsistencias y anomalías de activos y genera alertas sobre los activos críticos o no conciliados.</t>
  </si>
  <si>
    <t>Identificación de inconsistencias en los registros de datos maestros; Acceso y extracción documental impulsados por IA; Inspección autónoma de infraestructuras con drones</t>
  </si>
  <si>
    <t>¿Existe inventario actualizado?
¿Se concilia físico-contable?
¿Hay trazabilidad de movimientos?
¿Se conocen activos críticos?</t>
  </si>
  <si>
    <t>Maestro de activos; inventario físico; conciliaciones; incidencias; ubicación; bajas/traslados.</t>
  </si>
  <si>
    <t>Crear modelo de inteligencia de activos con calidad de datos maestros, inventario, conciliación y trazabilidad del ciclo de vida.</t>
  </si>
  <si>
    <t>3.3 Depreciación, impairments y valoración</t>
  </si>
  <si>
    <t>Evaluar el control financiero de depreciaciones, vidas útiles, deterioros y valoración de activos.</t>
  </si>
  <si>
    <t>Cálculos manuales o básicos, con revisiones limitadas de vidas útiles/deterioros.</t>
  </si>
  <si>
    <t>Reglas de depreciación configuradas parcialmente y análisis de impairment ad hoc.</t>
  </si>
  <si>
    <t>Políticas y reglas de depreciación/impairment documentadas y aplicadas recurrentemente.</t>
  </si>
  <si>
    <t>Modelo integrado con reporting, planificación de activos, KPIs operativos y revisiones estructuradas.</t>
  </si>
  <si>
    <t>Modelos IA detectan patrones de deterioro, anomalías de uso/coste y recomiendan revisión de vida útil, deterioro o mantenimiento.</t>
  </si>
  <si>
    <t>Mantenimiento predictivo basado en IA; Identificación de patrones históricos para predecir y mejorar el rendimiento financiero futuro</t>
  </si>
  <si>
    <t>¿Se revisan vidas útiles?
¿Hay indicadores de deterioro?
¿Se conectan datos operativos con contabilidad?</t>
  </si>
  <si>
    <t>Cálculos depreciación; políticas contables; pruebas impairment; KPIs uso/mantenimiento; actas de revisión.</t>
  </si>
  <si>
    <t>Desarrollar modelo analítico para anticipar deterioros y revisar vida útil con datos financieros y operativos.</t>
  </si>
  <si>
    <t>3.4 Bajas, desinversiones y control de CAPEX</t>
  </si>
  <si>
    <t>Evaluar el control de bajas, disposiciones, desinversiones y seguimiento del CAPEX asociado a activos.</t>
  </si>
  <si>
    <t>Bajas y disposiciones manuales, con bajo control de autorizaciones y resultados.</t>
  </si>
  <si>
    <t>Proceso básico de bajas y seguimiento CAPEX con revisiones manuales.</t>
  </si>
  <si>
    <t>Workflow estándar de baja/disposición y reporting de CAPEX con responsables definidos.</t>
  </si>
  <si>
    <t>Control integrado de CAPEX, activos, proyectos, aprobaciones, beneficios y desviaciones.</t>
  </si>
  <si>
    <t>IA prioriza decisiones de inversión/desinversión mediante business case, coste evitado, riesgo de activo y escenarios de rendimiento.</t>
  </si>
  <si>
    <t>Recomendaciones a nivel de proyecto; Mantenimiento predictivo basado en IA; Inspección autónoma de infraestructuras con drones</t>
  </si>
  <si>
    <t>¿Cómo se aprueban bajas?
¿Se mide ganancia/pérdida?
¿Se controla CAPEX?
¿Se vincula con business case?</t>
  </si>
  <si>
    <t>Bajas; autorizaciones; CAPEX; business cases; desviaciones; resultados de disposición.</t>
  </si>
  <si>
    <t>Implantar control del CAPEX y del ciclo de vida de los activos con analítica de coste evitado, riesgo y priorización de inversión y desinversión.</t>
  </si>
  <si>
    <t>Informes operativos</t>
  </si>
  <si>
    <t>4.1 Modelo de KPIs operativos financieros</t>
  </si>
  <si>
    <t>Evaluar si existen KPIs operativos-financieros homogéneos, fiables y conectados con la gestión.</t>
  </si>
  <si>
    <t>KPIs dispersos, manuales y con definiciones inconsistentes.</t>
  </si>
  <si>
    <t>KPIs básicos por área, con limitaciones de frecuencia y trazabilidad.</t>
  </si>
  <si>
    <t>Catálogo de KPIs operativos-financieros definido, con owners, periodicidad y fuentes.</t>
  </si>
  <si>
    <t>KPIs integrados, automatizados y conectados con procesos, productividad, coste y control.</t>
  </si>
  <si>
    <t>La IA genera alertas y conclusiones operativas en tiempo real, detecta desviaciones y recomienda acciones de mejora.</t>
  </si>
  <si>
    <t>Recomendaciones proactivas para la resolución de incidencias; Operaciones de tienda de nueva generación; Agentes de IA para la gestión del ciclo de vida del servicio</t>
  </si>
  <si>
    <t>¿Existe catálogo de KPIs?
¿Hay definiciones comunes?
¿Se conectan KPIs con decisiones?
¿Se detectan desviaciones?</t>
  </si>
  <si>
    <t>Catálogo de KPIs; dashboards; fuentes; definiciones; owners; actas de revisión.</t>
  </si>
  <si>
    <t>Rediseñar los informes operativo-financieros con KPIs homogéneos, alertas y explicación automática de desviaciones.</t>
  </si>
  <si>
    <t>4.2 Calidad, integración y gobierno de datos operativos</t>
  </si>
  <si>
    <t>Evaluar la integración, calidad y gobierno de los datos usados en informes operativos.</t>
  </si>
  <si>
    <t>Datos manuales desde múltiples fuentes, con conciliaciones y correcciones frecuentes.</t>
  </si>
  <si>
    <t>Integraciones parciales y controles básicos de calidad.</t>
  </si>
  <si>
    <t>Fuentes oficiales, reglas de calidad y modelo de datos documentado.</t>
  </si>
  <si>
    <t>Capa integrada de datos operativos-financieros, controles automáticos y gestión de incidencias.</t>
  </si>
  <si>
    <t>IA detecta inconsistencias en datos maestros, automatiza datos de fuentes diversas y guía flujos de trabajo de cambios de datos maestros.</t>
  </si>
  <si>
    <t>Flujos guiados y adaptables para cambios en datos maestros; Identificación de inconsistencias en los registros de datos maestros; Automatización de datos financieros de fuentes diversas</t>
  </si>
  <si>
    <t>¿Qué fuentes alimentan reporting?
¿Hay single source of truth?
¿Se gobiernan maestros?
¿Se mide calidad de dato?</t>
  </si>
  <si>
    <t>Modelo de datos; fuentes; reglas de calidad; incidencias; maestro; logs de carga.</t>
  </si>
  <si>
    <t>Implantar gobierno de datos operativos-financieros con controles de calidad, gestión de datos maestros y flujo de corrección.</t>
  </si>
  <si>
    <t>4.3 Automatización del reporting operativo</t>
  </si>
  <si>
    <t>Evaluar el grado de automatización, frecuencia y accesibilidad del reporting operativo.</t>
  </si>
  <si>
    <t>Reportes preparados manualmente y distribuidos de forma estática.</t>
  </si>
  <si>
    <t>Informes recurrentes con cierta automatización, pero ajustes manuales significativos.</t>
  </si>
  <si>
    <t>Reporting operativo estándar, con dashboards y actualizaciones periódicas.</t>
  </si>
  <si>
    <t>Reporting automatizado, con drill-down, alertas, comentarios y acceso por rol.</t>
  </si>
  <si>
    <t>IA permite informes operativos bajo demanda, búsqueda conversacional, extracción histórica y generación de resúmenes ejecutivos.</t>
  </si>
  <si>
    <t>Acceso a datos para toda la organización; Búsqueda y acceso a datos en toda la compañía; Acceso y extracción documental impulsados por IA</t>
  </si>
  <si>
    <t>¿Cuánto esfuerzo manual requiere el reporting?
¿Hay autoservicio?
¿Se actualiza con frecuencia?
¿Se puede hacer drill-down?</t>
  </si>
  <si>
    <t>Dashboards; reportes; logs de actualización; usuarios; permisos; plantillas.</t>
  </si>
  <si>
    <t>Construir informes operativos en autoservicio con capa conversacional, extracción de datos y generación automática de conclusiones.</t>
  </si>
  <si>
    <t>4.4 Rutinas de gestión, incidencias y mejora continua</t>
  </si>
  <si>
    <t>Evaluar si el reporting operativo desencadena acciones, resolución de incidencias y mejora continua.</t>
  </si>
  <si>
    <t>Informes no generan acciones formales ni seguimiento estructurado.</t>
  </si>
  <si>
    <t>Seguimiento manual de incidencias, con acciones poco trazables.</t>
  </si>
  <si>
    <t>Rutinas de revisión con responsables, acciones y seguimiento periódico.</t>
  </si>
  <si>
    <t>Modelo de mejora continua basado en KPIs, root cause, priorización e impacto financiero.</t>
  </si>
  <si>
    <t>IA prioriza incidencias, recomienda resolución, asigna tareas y aprende de tiempos reales de ejecución para mejorar productividad.</t>
  </si>
  <si>
    <t>Recomendaciones proactivas para la resolución de incidencias; Gestión autónoma de operaciones de campo; Gestión de permisos basada en IA</t>
  </si>
  <si>
    <t>¿Se asignan acciones?
¿Hay owners?
¿Se hace root cause?
¿Se mide impacto de mejoras?</t>
  </si>
  <si>
    <t>Trackers de acciones; incidencias; actas; KPIs; planes de mejora; análisis causa-raíz.</t>
  </si>
  <si>
    <t>Implantar flujo de gestión de incidencias con priorización por IA, causa raíz y seguimiento de beneficios.</t>
  </si>
  <si>
    <t>Contabilidad de proyectos</t>
  </si>
  <si>
    <t>5.1 Alta, estructura y codificación de proyectos</t>
  </si>
  <si>
    <t>Evaluar si los proyectos se crean y estructuran con criterios homogéneos para control financiero.</t>
  </si>
  <si>
    <t>Proyectos creados manualmente, con codificación inconsistente y poca relación con presupuesto/contrato.</t>
  </si>
  <si>
    <t>Estructura básica de proyectos, con reglas parciales de codificación y responsables.</t>
  </si>
  <si>
    <t>Modelo estándar de creación, codificación, WBS, ownership y conexión con presupuesto/contrato.</t>
  </si>
  <si>
    <t>Alta integrada con business case, presupuesto, compras, tiempos, facturación y reporting.</t>
  </si>
  <si>
    <t>IA asiste la creación de estructuras de proyecto, clasificación de costes, metadatos y documentación a partir de contratos, SoW y planes.</t>
  </si>
  <si>
    <t>Redacción de contratos y SoW; Generación de documentación de metadatos; Asistente de RFP y de conocimiento impulsado por IA</t>
  </si>
  <si>
    <t>¿Existe codificación estándar?
¿Se vincula proyecto con contrato/presupuesto?
¿Hay owners?
¿Se controla WBS?</t>
  </si>
  <si>
    <t>Alta proyecto; WBS; presupuesto; contrato; SoW; maestro de proyectos; aprobaciones.</t>
  </si>
  <si>
    <t>Crear flujo de alta de proyectos con estructura estándar, metadatos automáticos y conexión con contrato y presupuesto.</t>
  </si>
  <si>
    <t>5.2 Registro, imputación y control de costes</t>
  </si>
  <si>
    <t>Evaluar el control de imputaciones, costes, compromisos y desviaciones de proyectos.</t>
  </si>
  <si>
    <t>Imputaciones manuales, baja disciplina de codificación y poca visibilidad de compromisos.</t>
  </si>
  <si>
    <t>Controles básicos de coste y compromisos, con análisis de desviaciones manual.</t>
  </si>
  <si>
    <t>Proceso estándar de imputación, compromisos, aprobaciones y reporting de desviaciones.</t>
  </si>
  <si>
    <t>Control integrado de costes reales, comprometidos, forecast, presupuesto y margen por proyecto.</t>
  </si>
  <si>
    <t>IA detecta errores de clasificación/imputación, anomalías de coste y recomienda acciones para corregir desviaciones tempranamente.</t>
  </si>
  <si>
    <t>Identificación de errores de clasificación de gastos; Recomendaciones proactivas para la resolución de incidencias; Identificación de patrones históricos para predecir y mejorar el rendimiento financiero futuro</t>
  </si>
  <si>
    <t>¿Se imputan costes correctamente?
¿Hay compromisos visibles?
¿Se detectan desviaciones temprano?
¿Se clasifican costes de forma homogénea?</t>
  </si>
  <si>
    <t>Costes reales; compromisos; presupuestos; desviaciones; imputaciones; aprobaciones; KPIs proyecto.</t>
  </si>
  <si>
    <t>Desplegar modelo de control de costes de proyecto con detección de anomalías, clasificación y alertas tempranas.</t>
  </si>
  <si>
    <t>5.3 Facturación, ingresos y margen de proyectos</t>
  </si>
  <si>
    <t>Evaluar la conexión entre avance, hitos, ingresos, facturación y margen de proyectos.</t>
  </si>
  <si>
    <t>Ingresos/facturación gestionados manualmente, con baja conexión a avance real o hitos.</t>
  </si>
  <si>
    <t>Control básico de hitos y facturación, con conciliaciones manuales.</t>
  </si>
  <si>
    <t>Modelo estándar de avance, hitos, facturación, revenue recognition y margen.</t>
  </si>
  <si>
    <t>Integración entre contrato, avance, costes, facturación, ingresos y margen, con controles preventivos.</t>
  </si>
  <si>
    <t>IA identifica obligaciones contractuales, genera alertas de hitos/facturación y detecta fuga de ingresos o riesgo de margen.</t>
  </si>
  <si>
    <t>Lectura de contratos de cliente e identificación de obligaciones de desempeño; Identificación y corrección proactiva de fugas de ingresos; Detección y corrección automatizada de errores en facturas</t>
  </si>
  <si>
    <t>¿Los hitos disparan facturación?
¿Se controla revenue recognition?
¿Se mide margen por proyecto?
¿Hay leakage?</t>
  </si>
  <si>
    <t>Contrato; hitos; facturas; ingresos; margen; avance; notas de crédito; revenue recognition.</t>
  </si>
  <si>
    <t>Crear control con IA de contrato-hito-factura-ingreso-margen para proyectos, con alertas de fugas y desviaciones.</t>
  </si>
  <si>
    <t>5.4 Forecast, cierre y análisis del proyecto</t>
  </si>
  <si>
    <t>Evaluar madurez de forecast, cierre económico y análisis post-mortem de proyectos.</t>
  </si>
  <si>
    <t>Forecast manual o inexistente, cierre tardío y sin análisis de lecciones aprendidas.</t>
  </si>
  <si>
    <t>Forecast básico de coste/margen y cierre con revisión manual.</t>
  </si>
  <si>
    <t>Forecast recurrente y cierre estructurado con análisis de desviaciones por proyecto.</t>
  </si>
  <si>
    <t>Forecast integrado coste-ingreso-caja, revisión de margen, lecciones aprendidas y acciones de mejora.</t>
  </si>
  <si>
    <t>La IA predice el rendimiento futuro del proyecto y genera escenarios, recomendaciones y un resumen ejecutivo de su salud financiera.</t>
  </si>
  <si>
    <t>Identificación de patrones históricos para predecir y mejorar el rendimiento financiero futuro; Generación de una visión ejecutiva de la salud financiera de la compañía; Recomendaciones a nivel de proyecto</t>
  </si>
  <si>
    <t>¿Se actualiza forecast de proyectos?
¿Se analiza margen?
¿Se cierra con lecciones?
¿Se anticipan desviaciones?</t>
  </si>
  <si>
    <t>Forecast; margen; cash flow proyecto; cierre; post-mortem; acciones de mejora; reporting ejecutivo.</t>
  </si>
  <si>
    <t>Implantar previsión predictiva de proyectos con escenarios, alertas de margen y caja y recomendaciones de acción.</t>
  </si>
  <si>
    <t>Score global dominio</t>
  </si>
  <si>
    <t>Procesos</t>
  </si>
  <si>
    <t>Tecnología</t>
  </si>
  <si>
    <t>Organización</t>
  </si>
  <si>
    <t>Score medio</t>
  </si>
  <si>
    <t>Gap</t>
  </si>
  <si>
    <t>Casos AI</t>
  </si>
  <si>
    <t>Casos AI asociados</t>
  </si>
  <si>
    <t>Oleada</t>
  </si>
  <si>
    <t>Owner</t>
  </si>
  <si>
    <t>Estado</t>
  </si>
  <si>
    <t>Comentarios</t>
  </si>
  <si>
    <t>No iniciado</t>
  </si>
  <si>
    <t>Aplicación en nivel avanzado</t>
  </si>
  <si>
    <t>Fuente</t>
  </si>
  <si>
    <t>F3M_AI_Mapping_Consolidado_v1.xlsx</t>
  </si>
  <si>
    <t>GUÍAS DE SCORING F3M</t>
  </si>
  <si>
    <t>PROCESOS</t>
  </si>
  <si>
    <t>Nivel 1 - Inicial: Proceso inexistente, manual o ad hoc.</t>
  </si>
  <si>
    <t>Nivel 2 - Estructurado: Proceso parcial, definido con variabilidad y dependencias manuales.</t>
  </si>
  <si>
    <t>Nivel 3 - Estandarizado: Proceso documentado, homogéneo y repetible.</t>
  </si>
  <si>
    <t>Nivel 4 - Optimizado: Proceso medido, eficiente, con controles y mejora continua.</t>
  </si>
  <si>
    <t>Nivel 5 - Avanzado: Proceso integrado end-to-end, orientado a decisión y habilitado por automatización/AI cuando aplique.</t>
  </si>
  <si>
    <t>TECNOLOGÍA</t>
  </si>
  <si>
    <t>Nivel 1 - Inicial: Excel/manual, sin integración.</t>
  </si>
  <si>
    <t>Nivel 2 - Estructurado: Herramientas parciales o locales, con baja integración.</t>
  </si>
  <si>
    <t>Nivel 3 - Estandarizado: Herramienta corporativa y reglas definidas.</t>
  </si>
  <si>
    <t>Nivel 4 - Optimizado: Integración end-to-end, automatización y controles tecnológicos.</t>
  </si>
  <si>
    <t>Nivel 5 - Avanzado: Analítica avanzada, AI/GenAI, detección predictiva, autoservicio o workflow inteligente.</t>
  </si>
  <si>
    <t>ORGANIZACIÓN</t>
  </si>
  <si>
    <t>Nivel 1 - Inicial: Roles poco claros y alta dependencia de personas.</t>
  </si>
  <si>
    <t>Nivel 2 - Estructurado: Roles parcialmente definidos y coordinación manual.</t>
  </si>
  <si>
    <t>Nivel 3 - Estandarizado: Roles, ownership y accountability claros.</t>
  </si>
  <si>
    <t>Nivel 4 - Optimizado: Organización alineada con procesos, KPIs y mejora continua.</t>
  </si>
  <si>
    <t>Nivel 5 - Avanzado: Equipos orientados a control inteligente, eficiencia operativa, colaboración y generación de valor.</t>
  </si>
  <si>
    <t>REGLAS DE ORO</t>
  </si>
  <si>
    <t>- Puntuar el estado actual, no el objetivo.</t>
  </si>
  <si>
    <t>- No mezclar palancas: procesos, tecnología y organización se puntúan por separado.</t>
  </si>
  <si>
    <t>- Sustentar cada score con evidencias.</t>
  </si>
  <si>
    <t>- No sobrevalorar la tecnología si el proceso o la adopción no están maduros.</t>
  </si>
  <si>
    <t>F3M - Transaccional | Assessment-ready con AI</t>
  </si>
  <si>
    <t>Uso</t>
  </si>
  <si>
    <t>Puntuar cada subcapacidad en Procesos, Tecnología y Organización usando escala 1-5.</t>
  </si>
  <si>
    <t>Dominio</t>
  </si>
  <si>
    <t>Transacciones: Source-to-Pay, Order-to-Cash, Activos fijos / Gestión de activos, Informes operativos y Contabilidad de proyectos.</t>
  </si>
  <si>
    <t>Nivel avanzado</t>
  </si>
  <si>
    <t>Los niveles 5 incorporan casos de uso AI del fichero consolidado F3M_AI_Mapping_Consolidado_v1.xlsx; en capacidades con menor cobertura directa se han usado casos del consolidado por analogía funcional.</t>
  </si>
  <si>
    <t>Objetivo de madurez</t>
  </si>
  <si>
    <t>El gap se calcula frente a Nivel 4 - Optimizado.</t>
  </si>
  <si>
    <t>Pestañas</t>
  </si>
  <si>
    <t>Assessment, Resumen, Heatmap, Roadmap, AI Overlay, Guias scoring e Instrucciones.</t>
  </si>
  <si>
    <t xml:space="preserve">Previsión del gasto contratado con terceros; Planificación logística resiliente</t>
  </si>
  <si>
    <t xml:space="preserve">Planificación logística resiliente; Evaluación de proveedores con IA; Redacción de contratos y pliegos; Insights sobre el dato de proveedor</t>
  </si>
  <si>
    <t xml:space="preserve">Redacción de contratos y pliegos; Asistente de RFP y de conocimiento comercial; Previsión del gasto contratado con terceros</t>
  </si>
  <si>
    <t xml:space="preserve">Momento óptimo de pago a proveedores; Recomendaciones de resolución de incidencias; Flujos guiados de cambio en datos maestros; Detección de facturas duplicadas</t>
  </si>
  <si>
    <t xml:space="preserve">Lectura de contratos y obligaciones de desempeño; Detección de fugas de ingresos</t>
  </si>
  <si>
    <t xml:space="preserve">Detección y corrección de errores en facturas; Facturación de pedidos no estándar</t>
  </si>
  <si>
    <t xml:space="preserve">Gestión asistida del recobro; Condiciones de pago óptimas para el DSO; Redacción de recursos ante denegaciones; Asistente financiero para el cliente</t>
  </si>
  <si>
    <t xml:space="preserve">Agentes de IA para análisis de riesgo crediticio; Predicción de retraso e impago; Condiciones de pago óptimas para el DSO</t>
  </si>
  <si>
    <t xml:space="preserve">Detección de errores de clasificación de gasto; Generación de documentación de metadatos; Flujos guiados de cambio en datos maestros</t>
  </si>
  <si>
    <t xml:space="preserve">Detección de inconsistencias en datos maestros; Acceso y extracción documental</t>
  </si>
  <si>
    <t xml:space="preserve">Mantenimiento predictivo de activos; Patrones históricos para predecir el rendimiento</t>
  </si>
  <si>
    <t xml:space="preserve">Recomendaciones de acción a nivel de proyecto; Mantenimiento predictivo de activos</t>
  </si>
  <si>
    <t xml:space="preserve">Recomendaciones de resolución de incidencias; Análisis de desviaciones con explicación automática</t>
  </si>
  <si>
    <t xml:space="preserve">Flujos guiados de cambio en datos maestros; Detección de inconsistencias en datos maestros; Integración automatizada de datos financieros</t>
  </si>
  <si>
    <t xml:space="preserve">Consulta del dato en lenguaje natural; Acceso y extracción documental</t>
  </si>
  <si>
    <t xml:space="preserve">Recomendaciones de resolución de incidencias; Predicción de retraso e impago</t>
  </si>
  <si>
    <t xml:space="preserve">Redacción de contratos y pliegos; Generación de documentación de metadatos; Asistente de RFP y de conocimiento comercial</t>
  </si>
  <si>
    <t xml:space="preserve">Detección de errores de clasificación de gasto; Recomendaciones de resolución de incidencias; Patrones históricos para predecir el rendimiento</t>
  </si>
  <si>
    <t xml:space="preserve">Lectura de contratos y obligaciones de desempeño; Detección de fugas de ingresos; Detección y corrección de errores en facturas</t>
  </si>
  <si>
    <t xml:space="preserve">Patrones históricos para predecir el rendimiento; Visión ejecutiva de la salud financiera; Recomendaciones de acción a nivel de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</si>
</sst>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" fillId="2" borderId="0" xfId="0" applyFont="1" applyFill="1"/>
  </cellXfs>
  <cellStyles count="1">
    <cellStyle name="Normal" xfId="0" builtinId="0"/>
  </cellStyles>
  <dxfs count="3">
    <dxf>
      <fill>
        <patternFill patternType="solid">
          <fgColor rgb="FF63BE7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F8696B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Score medio por capacidad - Transaccional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Resumen!$E$1</c:f>
              <c:strCache>
                <c:ptCount val="1"/>
                <c:pt idx="0">
                  <c:v>Score Medio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Resumen!$A$2:$A$6</c:f>
              <c:strCache>
                <c:ptCount val="5"/>
                <c:pt idx="0">
                  <c:v>Source-to-Pay</c:v>
                </c:pt>
                <c:pt idx="1">
                  <c:v>Order-to-Cash</c:v>
                </c:pt>
                <c:pt idx="2">
                  <c:v>Activos fijos / Gestión de activos</c:v>
                </c:pt>
                <c:pt idx="3">
                  <c:v>Informes operativos</c:v>
                </c:pt>
                <c:pt idx="4">
                  <c:v>Contabilidad de proyectos</c:v>
                </c:pt>
              </c:strCache>
            </c:strRef>
          </c:cat>
          <c:val>
            <c:numRef>
              <c:f>Resumen!$E$2:$E$6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C5-4A35-B463-7292F88472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Capacidad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</xdr:row>
      <xdr:rowOff>0</xdr:rowOff>
    </xdr:from>
    <xdr:ext cx="576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tabSelected="1" workbookViewId="0">
      <pane ySplit="1" topLeftCell="A2" activePane="bottomLeft" state="frozen"/>
      <selection pane="bottomLeft" activeCell="E2" sqref="E2"/>
    </sheetView>
  </sheetViews>
  <sheetFormatPr defaultRowHeight="14.4" x14ac:dyDescent="0.3"/>
  <cols>
    <col min="1" max="1" width="30" customWidth="1"/>
    <col min="2" max="2" width="48" customWidth="1"/>
    <col min="3" max="3" width="58" customWidth="1"/>
    <col min="4" max="6" width="48" customWidth="1"/>
    <col min="7" max="7" width="50" customWidth="1"/>
    <col min="8" max="8" width="68" customWidth="1"/>
    <col min="9" max="9" width="55" customWidth="1"/>
    <col min="10" max="10" width="14" customWidth="1"/>
    <col min="11" max="11" width="16" customWidth="1"/>
    <col min="12" max="12" width="18" customWidth="1"/>
    <col min="13" max="13" width="13" customWidth="1"/>
    <col min="14" max="14" width="24" customWidth="1"/>
    <col min="15" max="15" width="13" customWidth="1"/>
    <col min="16" max="16" width="12" customWidth="1"/>
    <col min="17" max="17" width="60" customWidth="1"/>
    <col min="18" max="18" width="55" customWidth="1"/>
    <col min="19" max="19" width="78" customWidth="1"/>
    <col min="20" max="20" width="42" customWidth="1"/>
  </cols>
  <sheetData>
    <row r="1" spans="1:20" ht="44.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105.9" customHeight="1" x14ac:dyDescent="0.3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296</v>
      </c>
      <c r="J2" s="2"/>
      <c r="K2" s="2"/>
      <c r="L2" s="2"/>
      <c r="M2" s="2" t="str">
        <f t="shared" ref="M2:M21" si="0">IF(COUNTA(J2:L2)=0,"",ROUND(AVERAGE(J2:L2),2))</f>
        <v/>
      </c>
      <c r="N2" s="2" t="str">
        <f t="shared" ref="N2:N21" si="1">IF(M2="","",IF(M2&lt;1.5,"1 - Inicial",IF(M2&lt;2.5,"2 - Estructurado",IF(M2&lt;3.5,"3 - Estandarizado",IF(M2&lt;4.5,"4 - Optimizado","5 - Avanzado/Referente")))))</f>
        <v/>
      </c>
      <c r="O2" s="2" t="str">
        <f t="shared" ref="O2:O21" si="2">IF(M2="","",MAX(0,4-M2))</f>
        <v/>
      </c>
      <c r="P2" s="2" t="str">
        <f t="shared" ref="P2:P21" si="3">IF(M2="","",IF(O2&gt;=2,"Alta",IF(O2&gt;=1,"Media","Baja")))</f>
        <v/>
      </c>
      <c r="Q2" s="2" t="s">
        <v>29</v>
      </c>
      <c r="R2" s="2" t="s">
        <v>30</v>
      </c>
      <c r="S2" s="2" t="s">
        <v>31</v>
      </c>
      <c r="T2" s="2"/>
    </row>
    <row r="3" spans="1:20" ht="105.9" customHeight="1" x14ac:dyDescent="0.3">
      <c r="A3" s="2" t="s">
        <v>20</v>
      </c>
      <c r="B3" s="2" t="s">
        <v>32</v>
      </c>
      <c r="C3" s="2" t="s">
        <v>33</v>
      </c>
      <c r="D3" s="2" t="s">
        <v>34</v>
      </c>
      <c r="E3" s="2" t="s">
        <v>35</v>
      </c>
      <c r="F3" s="2" t="s">
        <v>36</v>
      </c>
      <c r="G3" s="2" t="s">
        <v>37</v>
      </c>
      <c r="H3" s="2" t="s">
        <v>38</v>
      </c>
      <c r="I3" s="2" t="s">
        <v>297</v>
      </c>
      <c r="J3" s="2"/>
      <c r="K3" s="2"/>
      <c r="L3" s="2"/>
      <c r="M3" s="2" t="str">
        <f t="shared" si="0"/>
        <v/>
      </c>
      <c r="N3" s="2" t="str">
        <f t="shared" si="1"/>
        <v/>
      </c>
      <c r="O3" s="2" t="str">
        <f t="shared" si="2"/>
        <v/>
      </c>
      <c r="P3" s="2" t="str">
        <f t="shared" si="3"/>
        <v/>
      </c>
      <c r="Q3" s="2" t="s">
        <v>40</v>
      </c>
      <c r="R3" s="2" t="s">
        <v>41</v>
      </c>
      <c r="S3" s="2" t="s">
        <v>42</v>
      </c>
      <c r="T3" s="2"/>
    </row>
    <row r="4" spans="1:20" ht="105.9" customHeight="1" x14ac:dyDescent="0.3">
      <c r="A4" s="2" t="s">
        <v>20</v>
      </c>
      <c r="B4" s="2" t="s">
        <v>43</v>
      </c>
      <c r="C4" s="2" t="s">
        <v>44</v>
      </c>
      <c r="D4" s="2" t="s">
        <v>45</v>
      </c>
      <c r="E4" s="2" t="s">
        <v>46</v>
      </c>
      <c r="F4" s="2" t="s">
        <v>47</v>
      </c>
      <c r="G4" s="2" t="s">
        <v>48</v>
      </c>
      <c r="H4" s="2" t="s">
        <v>49</v>
      </c>
      <c r="I4" s="2" t="s">
        <v>298</v>
      </c>
      <c r="J4" s="2"/>
      <c r="K4" s="2"/>
      <c r="L4" s="2"/>
      <c r="M4" s="2" t="str">
        <f t="shared" si="0"/>
        <v/>
      </c>
      <c r="N4" s="2" t="str">
        <f t="shared" si="1"/>
        <v/>
      </c>
      <c r="O4" s="2" t="str">
        <f t="shared" si="2"/>
        <v/>
      </c>
      <c r="P4" s="2" t="str">
        <f t="shared" si="3"/>
        <v/>
      </c>
      <c r="Q4" s="2" t="s">
        <v>51</v>
      </c>
      <c r="R4" s="2" t="s">
        <v>52</v>
      </c>
      <c r="S4" s="2" t="s">
        <v>53</v>
      </c>
      <c r="T4" s="2"/>
    </row>
    <row r="5" spans="1:20" ht="105.9" customHeight="1" x14ac:dyDescent="0.3">
      <c r="A5" s="2" t="s">
        <v>20</v>
      </c>
      <c r="B5" s="2" t="s">
        <v>54</v>
      </c>
      <c r="C5" s="2" t="s">
        <v>55</v>
      </c>
      <c r="D5" s="2" t="s">
        <v>56</v>
      </c>
      <c r="E5" s="2" t="s">
        <v>57</v>
      </c>
      <c r="F5" s="2" t="s">
        <v>58</v>
      </c>
      <c r="G5" s="2" t="s">
        <v>59</v>
      </c>
      <c r="H5" s="2" t="s">
        <v>60</v>
      </c>
      <c r="I5" s="2" t="s">
        <v>299</v>
      </c>
      <c r="J5" s="2"/>
      <c r="K5" s="2"/>
      <c r="L5" s="2"/>
      <c r="M5" s="2" t="str">
        <f t="shared" si="0"/>
        <v/>
      </c>
      <c r="N5" s="2" t="str">
        <f t="shared" si="1"/>
        <v/>
      </c>
      <c r="O5" s="2" t="str">
        <f t="shared" si="2"/>
        <v/>
      </c>
      <c r="P5" s="2" t="str">
        <f t="shared" si="3"/>
        <v/>
      </c>
      <c r="Q5" s="2" t="s">
        <v>62</v>
      </c>
      <c r="R5" s="2" t="s">
        <v>63</v>
      </c>
      <c r="S5" s="2" t="s">
        <v>64</v>
      </c>
      <c r="T5" s="2"/>
    </row>
    <row r="6" spans="1:20" ht="105.9" customHeight="1" x14ac:dyDescent="0.3">
      <c r="A6" s="2" t="s">
        <v>65</v>
      </c>
      <c r="B6" s="2" t="s">
        <v>66</v>
      </c>
      <c r="C6" s="2" t="s">
        <v>67</v>
      </c>
      <c r="D6" s="2" t="s">
        <v>68</v>
      </c>
      <c r="E6" s="2" t="s">
        <v>69</v>
      </c>
      <c r="F6" s="2" t="s">
        <v>70</v>
      </c>
      <c r="G6" s="2" t="s">
        <v>71</v>
      </c>
      <c r="H6" s="2" t="s">
        <v>72</v>
      </c>
      <c r="I6" s="2" t="s">
        <v>300</v>
      </c>
      <c r="J6" s="2"/>
      <c r="K6" s="2"/>
      <c r="L6" s="2"/>
      <c r="M6" s="2" t="str">
        <f t="shared" si="0"/>
        <v/>
      </c>
      <c r="N6" s="2" t="str">
        <f t="shared" si="1"/>
        <v/>
      </c>
      <c r="O6" s="2" t="str">
        <f t="shared" si="2"/>
        <v/>
      </c>
      <c r="P6" s="2" t="str">
        <f t="shared" si="3"/>
        <v/>
      </c>
      <c r="Q6" s="2" t="s">
        <v>74</v>
      </c>
      <c r="R6" s="2" t="s">
        <v>75</v>
      </c>
      <c r="S6" s="2" t="s">
        <v>76</v>
      </c>
      <c r="T6" s="2"/>
    </row>
    <row r="7" spans="1:20" ht="105.9" customHeight="1" x14ac:dyDescent="0.3">
      <c r="A7" s="2" t="s">
        <v>65</v>
      </c>
      <c r="B7" s="2" t="s">
        <v>77</v>
      </c>
      <c r="C7" s="2" t="s">
        <v>78</v>
      </c>
      <c r="D7" s="2" t="s">
        <v>79</v>
      </c>
      <c r="E7" s="2" t="s">
        <v>80</v>
      </c>
      <c r="F7" s="2" t="s">
        <v>81</v>
      </c>
      <c r="G7" s="2" t="s">
        <v>82</v>
      </c>
      <c r="H7" s="2" t="s">
        <v>83</v>
      </c>
      <c r="I7" s="2" t="s">
        <v>301</v>
      </c>
      <c r="J7" s="2"/>
      <c r="K7" s="2"/>
      <c r="L7" s="2"/>
      <c r="M7" s="2" t="str">
        <f t="shared" si="0"/>
        <v/>
      </c>
      <c r="N7" s="2" t="str">
        <f t="shared" si="1"/>
        <v/>
      </c>
      <c r="O7" s="2" t="str">
        <f t="shared" si="2"/>
        <v/>
      </c>
      <c r="P7" s="2" t="str">
        <f t="shared" si="3"/>
        <v/>
      </c>
      <c r="Q7" s="2" t="s">
        <v>85</v>
      </c>
      <c r="R7" s="2" t="s">
        <v>86</v>
      </c>
      <c r="S7" s="2" t="s">
        <v>87</v>
      </c>
      <c r="T7" s="2"/>
    </row>
    <row r="8" spans="1:20" ht="105.9" customHeight="1" x14ac:dyDescent="0.3">
      <c r="A8" s="2" t="s">
        <v>65</v>
      </c>
      <c r="B8" s="2" t="s">
        <v>88</v>
      </c>
      <c r="C8" s="2" t="s">
        <v>89</v>
      </c>
      <c r="D8" s="2" t="s">
        <v>90</v>
      </c>
      <c r="E8" s="2" t="s">
        <v>91</v>
      </c>
      <c r="F8" s="2" t="s">
        <v>92</v>
      </c>
      <c r="G8" s="2" t="s">
        <v>93</v>
      </c>
      <c r="H8" s="2" t="s">
        <v>94</v>
      </c>
      <c r="I8" s="2" t="s">
        <v>302</v>
      </c>
      <c r="J8" s="2"/>
      <c r="K8" s="2"/>
      <c r="L8" s="2"/>
      <c r="M8" s="2" t="str">
        <f t="shared" si="0"/>
        <v/>
      </c>
      <c r="N8" s="2" t="str">
        <f t="shared" si="1"/>
        <v/>
      </c>
      <c r="O8" s="2" t="str">
        <f t="shared" si="2"/>
        <v/>
      </c>
      <c r="P8" s="2" t="str">
        <f t="shared" si="3"/>
        <v/>
      </c>
      <c r="Q8" s="2" t="s">
        <v>96</v>
      </c>
      <c r="R8" s="2" t="s">
        <v>97</v>
      </c>
      <c r="S8" s="2" t="s">
        <v>98</v>
      </c>
      <c r="T8" s="2"/>
    </row>
    <row r="9" spans="1:20" ht="105.9" customHeight="1" x14ac:dyDescent="0.3">
      <c r="A9" s="2" t="s">
        <v>65</v>
      </c>
      <c r="B9" s="2" t="s">
        <v>99</v>
      </c>
      <c r="C9" s="2" t="s">
        <v>100</v>
      </c>
      <c r="D9" s="2" t="s">
        <v>101</v>
      </c>
      <c r="E9" s="2" t="s">
        <v>102</v>
      </c>
      <c r="F9" s="2" t="s">
        <v>103</v>
      </c>
      <c r="G9" s="2" t="s">
        <v>104</v>
      </c>
      <c r="H9" s="2" t="s">
        <v>105</v>
      </c>
      <c r="I9" s="2" t="s">
        <v>303</v>
      </c>
      <c r="J9" s="2"/>
      <c r="K9" s="2"/>
      <c r="L9" s="2"/>
      <c r="M9" s="2" t="str">
        <f t="shared" si="0"/>
        <v/>
      </c>
      <c r="N9" s="2" t="str">
        <f t="shared" si="1"/>
        <v/>
      </c>
      <c r="O9" s="2" t="str">
        <f t="shared" si="2"/>
        <v/>
      </c>
      <c r="P9" s="2" t="str">
        <f t="shared" si="3"/>
        <v/>
      </c>
      <c r="Q9" s="2" t="s">
        <v>107</v>
      </c>
      <c r="R9" s="2" t="s">
        <v>108</v>
      </c>
      <c r="S9" s="2" t="s">
        <v>109</v>
      </c>
      <c r="T9" s="2"/>
    </row>
    <row r="10" spans="1:20" ht="105.9" customHeight="1" x14ac:dyDescent="0.3">
      <c r="A10" s="2" t="s">
        <v>110</v>
      </c>
      <c r="B10" s="2" t="s">
        <v>111</v>
      </c>
      <c r="C10" s="2" t="s">
        <v>112</v>
      </c>
      <c r="D10" s="2" t="s">
        <v>113</v>
      </c>
      <c r="E10" s="2" t="s">
        <v>114</v>
      </c>
      <c r="F10" s="2" t="s">
        <v>115</v>
      </c>
      <c r="G10" s="2" t="s">
        <v>116</v>
      </c>
      <c r="H10" s="2" t="s">
        <v>117</v>
      </c>
      <c r="I10" s="2" t="s">
        <v>304</v>
      </c>
      <c r="J10" s="2"/>
      <c r="K10" s="2"/>
      <c r="L10" s="2"/>
      <c r="M10" s="2" t="str">
        <f t="shared" si="0"/>
        <v/>
      </c>
      <c r="N10" s="2" t="str">
        <f t="shared" si="1"/>
        <v/>
      </c>
      <c r="O10" s="2" t="str">
        <f t="shared" si="2"/>
        <v/>
      </c>
      <c r="P10" s="2" t="str">
        <f t="shared" si="3"/>
        <v/>
      </c>
      <c r="Q10" s="2" t="s">
        <v>119</v>
      </c>
      <c r="R10" s="2" t="s">
        <v>120</v>
      </c>
      <c r="S10" s="2" t="s">
        <v>121</v>
      </c>
      <c r="T10" s="2"/>
    </row>
    <row r="11" spans="1:20" ht="105.9" customHeight="1" x14ac:dyDescent="0.3">
      <c r="A11" s="2" t="s">
        <v>110</v>
      </c>
      <c r="B11" s="2" t="s">
        <v>122</v>
      </c>
      <c r="C11" s="2" t="s">
        <v>123</v>
      </c>
      <c r="D11" s="2" t="s">
        <v>124</v>
      </c>
      <c r="E11" s="2" t="s">
        <v>125</v>
      </c>
      <c r="F11" s="2" t="s">
        <v>126</v>
      </c>
      <c r="G11" s="2" t="s">
        <v>127</v>
      </c>
      <c r="H11" s="2" t="s">
        <v>128</v>
      </c>
      <c r="I11" s="2" t="s">
        <v>305</v>
      </c>
      <c r="J11" s="2"/>
      <c r="K11" s="2"/>
      <c r="L11" s="2"/>
      <c r="M11" s="2" t="str">
        <f t="shared" si="0"/>
        <v/>
      </c>
      <c r="N11" s="2" t="str">
        <f t="shared" si="1"/>
        <v/>
      </c>
      <c r="O11" s="2" t="str">
        <f t="shared" si="2"/>
        <v/>
      </c>
      <c r="P11" s="2" t="str">
        <f t="shared" si="3"/>
        <v/>
      </c>
      <c r="Q11" s="2" t="s">
        <v>130</v>
      </c>
      <c r="R11" s="2" t="s">
        <v>131</v>
      </c>
      <c r="S11" s="2" t="s">
        <v>132</v>
      </c>
      <c r="T11" s="2"/>
    </row>
    <row r="12" spans="1:20" ht="105.9" customHeight="1" x14ac:dyDescent="0.3">
      <c r="A12" s="2" t="s">
        <v>110</v>
      </c>
      <c r="B12" s="2" t="s">
        <v>133</v>
      </c>
      <c r="C12" s="2" t="s">
        <v>134</v>
      </c>
      <c r="D12" s="2" t="s">
        <v>135</v>
      </c>
      <c r="E12" s="2" t="s">
        <v>136</v>
      </c>
      <c r="F12" s="2" t="s">
        <v>137</v>
      </c>
      <c r="G12" s="2" t="s">
        <v>138</v>
      </c>
      <c r="H12" s="2" t="s">
        <v>139</v>
      </c>
      <c r="I12" s="2" t="s">
        <v>306</v>
      </c>
      <c r="J12" s="2"/>
      <c r="K12" s="2"/>
      <c r="L12" s="2"/>
      <c r="M12" s="2" t="str">
        <f t="shared" si="0"/>
        <v/>
      </c>
      <c r="N12" s="2" t="str">
        <f t="shared" si="1"/>
        <v/>
      </c>
      <c r="O12" s="2" t="str">
        <f t="shared" si="2"/>
        <v/>
      </c>
      <c r="P12" s="2" t="str">
        <f t="shared" si="3"/>
        <v/>
      </c>
      <c r="Q12" s="2" t="s">
        <v>141</v>
      </c>
      <c r="R12" s="2" t="s">
        <v>142</v>
      </c>
      <c r="S12" s="2" t="s">
        <v>143</v>
      </c>
      <c r="T12" s="2"/>
    </row>
    <row r="13" spans="1:20" ht="105.9" customHeight="1" x14ac:dyDescent="0.3">
      <c r="A13" s="2" t="s">
        <v>110</v>
      </c>
      <c r="B13" s="2" t="s">
        <v>144</v>
      </c>
      <c r="C13" s="2" t="s">
        <v>145</v>
      </c>
      <c r="D13" s="2" t="s">
        <v>146</v>
      </c>
      <c r="E13" s="2" t="s">
        <v>147</v>
      </c>
      <c r="F13" s="2" t="s">
        <v>148</v>
      </c>
      <c r="G13" s="2" t="s">
        <v>149</v>
      </c>
      <c r="H13" s="2" t="s">
        <v>150</v>
      </c>
      <c r="I13" s="2" t="s">
        <v>307</v>
      </c>
      <c r="J13" s="2"/>
      <c r="K13" s="2"/>
      <c r="L13" s="2"/>
      <c r="M13" s="2" t="str">
        <f t="shared" si="0"/>
        <v/>
      </c>
      <c r="N13" s="2" t="str">
        <f t="shared" si="1"/>
        <v/>
      </c>
      <c r="O13" s="2" t="str">
        <f t="shared" si="2"/>
        <v/>
      </c>
      <c r="P13" s="2" t="str">
        <f t="shared" si="3"/>
        <v/>
      </c>
      <c r="Q13" s="2" t="s">
        <v>152</v>
      </c>
      <c r="R13" s="2" t="s">
        <v>153</v>
      </c>
      <c r="S13" s="2" t="s">
        <v>154</v>
      </c>
      <c r="T13" s="2"/>
    </row>
    <row r="14" spans="1:20" ht="105.9" customHeight="1" x14ac:dyDescent="0.3">
      <c r="A14" s="2" t="s">
        <v>155</v>
      </c>
      <c r="B14" s="2" t="s">
        <v>156</v>
      </c>
      <c r="C14" s="2" t="s">
        <v>157</v>
      </c>
      <c r="D14" s="2" t="s">
        <v>158</v>
      </c>
      <c r="E14" s="2" t="s">
        <v>159</v>
      </c>
      <c r="F14" s="2" t="s">
        <v>160</v>
      </c>
      <c r="G14" s="2" t="s">
        <v>161</v>
      </c>
      <c r="H14" s="2" t="s">
        <v>162</v>
      </c>
      <c r="I14" s="2" t="s">
        <v>308</v>
      </c>
      <c r="J14" s="2"/>
      <c r="K14" s="2"/>
      <c r="L14" s="2"/>
      <c r="M14" s="2" t="str">
        <f t="shared" si="0"/>
        <v/>
      </c>
      <c r="N14" s="2" t="str">
        <f t="shared" si="1"/>
        <v/>
      </c>
      <c r="O14" s="2" t="str">
        <f t="shared" si="2"/>
        <v/>
      </c>
      <c r="P14" s="2" t="str">
        <f t="shared" si="3"/>
        <v/>
      </c>
      <c r="Q14" s="2" t="s">
        <v>164</v>
      </c>
      <c r="R14" s="2" t="s">
        <v>165</v>
      </c>
      <c r="S14" s="2" t="s">
        <v>166</v>
      </c>
      <c r="T14" s="2"/>
    </row>
    <row r="15" spans="1:20" ht="105.9" customHeight="1" x14ac:dyDescent="0.3">
      <c r="A15" s="2" t="s">
        <v>155</v>
      </c>
      <c r="B15" s="2" t="s">
        <v>167</v>
      </c>
      <c r="C15" s="2" t="s">
        <v>168</v>
      </c>
      <c r="D15" s="2" t="s">
        <v>169</v>
      </c>
      <c r="E15" s="2" t="s">
        <v>170</v>
      </c>
      <c r="F15" s="2" t="s">
        <v>171</v>
      </c>
      <c r="G15" s="2" t="s">
        <v>172</v>
      </c>
      <c r="H15" s="2" t="s">
        <v>173</v>
      </c>
      <c r="I15" s="2" t="s">
        <v>309</v>
      </c>
      <c r="J15" s="2"/>
      <c r="K15" s="2"/>
      <c r="L15" s="2"/>
      <c r="M15" s="2" t="str">
        <f t="shared" si="0"/>
        <v/>
      </c>
      <c r="N15" s="2" t="str">
        <f t="shared" si="1"/>
        <v/>
      </c>
      <c r="O15" s="2" t="str">
        <f t="shared" si="2"/>
        <v/>
      </c>
      <c r="P15" s="2" t="str">
        <f t="shared" si="3"/>
        <v/>
      </c>
      <c r="Q15" s="2" t="s">
        <v>175</v>
      </c>
      <c r="R15" s="2" t="s">
        <v>176</v>
      </c>
      <c r="S15" s="2" t="s">
        <v>177</v>
      </c>
      <c r="T15" s="2"/>
    </row>
    <row r="16" spans="1:20" ht="105.9" customHeight="1" x14ac:dyDescent="0.3">
      <c r="A16" s="2" t="s">
        <v>155</v>
      </c>
      <c r="B16" s="2" t="s">
        <v>178</v>
      </c>
      <c r="C16" s="2" t="s">
        <v>179</v>
      </c>
      <c r="D16" s="2" t="s">
        <v>180</v>
      </c>
      <c r="E16" s="2" t="s">
        <v>181</v>
      </c>
      <c r="F16" s="2" t="s">
        <v>182</v>
      </c>
      <c r="G16" s="2" t="s">
        <v>183</v>
      </c>
      <c r="H16" s="2" t="s">
        <v>184</v>
      </c>
      <c r="I16" s="2" t="s">
        <v>310</v>
      </c>
      <c r="J16" s="2"/>
      <c r="K16" s="2"/>
      <c r="L16" s="2"/>
      <c r="M16" s="2" t="str">
        <f t="shared" si="0"/>
        <v/>
      </c>
      <c r="N16" s="2" t="str">
        <f t="shared" si="1"/>
        <v/>
      </c>
      <c r="O16" s="2" t="str">
        <f t="shared" si="2"/>
        <v/>
      </c>
      <c r="P16" s="2" t="str">
        <f t="shared" si="3"/>
        <v/>
      </c>
      <c r="Q16" s="2" t="s">
        <v>186</v>
      </c>
      <c r="R16" s="2" t="s">
        <v>187</v>
      </c>
      <c r="S16" s="2" t="s">
        <v>188</v>
      </c>
      <c r="T16" s="2"/>
    </row>
    <row r="17" spans="1:20" ht="105.9" customHeight="1" x14ac:dyDescent="0.3">
      <c r="A17" s="2" t="s">
        <v>155</v>
      </c>
      <c r="B17" s="2" t="s">
        <v>189</v>
      </c>
      <c r="C17" s="2" t="s">
        <v>190</v>
      </c>
      <c r="D17" s="2" t="s">
        <v>191</v>
      </c>
      <c r="E17" s="2" t="s">
        <v>192</v>
      </c>
      <c r="F17" s="2" t="s">
        <v>193</v>
      </c>
      <c r="G17" s="2" t="s">
        <v>194</v>
      </c>
      <c r="H17" s="2" t="s">
        <v>195</v>
      </c>
      <c r="I17" s="2" t="s">
        <v>311</v>
      </c>
      <c r="J17" s="2"/>
      <c r="K17" s="2"/>
      <c r="L17" s="2"/>
      <c r="M17" s="2" t="str">
        <f t="shared" si="0"/>
        <v/>
      </c>
      <c r="N17" s="2" t="str">
        <f t="shared" si="1"/>
        <v/>
      </c>
      <c r="O17" s="2" t="str">
        <f t="shared" si="2"/>
        <v/>
      </c>
      <c r="P17" s="2" t="str">
        <f t="shared" si="3"/>
        <v/>
      </c>
      <c r="Q17" s="2" t="s">
        <v>197</v>
      </c>
      <c r="R17" s="2" t="s">
        <v>198</v>
      </c>
      <c r="S17" s="2" t="s">
        <v>199</v>
      </c>
      <c r="T17" s="2"/>
    </row>
    <row r="18" spans="1:20" ht="105.9" customHeight="1" x14ac:dyDescent="0.3">
      <c r="A18" s="2" t="s">
        <v>200</v>
      </c>
      <c r="B18" s="2" t="s">
        <v>201</v>
      </c>
      <c r="C18" s="2" t="s">
        <v>202</v>
      </c>
      <c r="D18" s="2" t="s">
        <v>203</v>
      </c>
      <c r="E18" s="2" t="s">
        <v>204</v>
      </c>
      <c r="F18" s="2" t="s">
        <v>205</v>
      </c>
      <c r="G18" s="2" t="s">
        <v>206</v>
      </c>
      <c r="H18" s="2" t="s">
        <v>207</v>
      </c>
      <c r="I18" s="2" t="s">
        <v>312</v>
      </c>
      <c r="J18" s="2"/>
      <c r="K18" s="2"/>
      <c r="L18" s="2"/>
      <c r="M18" s="2" t="str">
        <f t="shared" si="0"/>
        <v/>
      </c>
      <c r="N18" s="2" t="str">
        <f t="shared" si="1"/>
        <v/>
      </c>
      <c r="O18" s="2" t="str">
        <f t="shared" si="2"/>
        <v/>
      </c>
      <c r="P18" s="2" t="str">
        <f t="shared" si="3"/>
        <v/>
      </c>
      <c r="Q18" s="2" t="s">
        <v>209</v>
      </c>
      <c r="R18" s="2" t="s">
        <v>210</v>
      </c>
      <c r="S18" s="2" t="s">
        <v>211</v>
      </c>
      <c r="T18" s="2"/>
    </row>
    <row r="19" spans="1:20" ht="105.9" customHeight="1" x14ac:dyDescent="0.3">
      <c r="A19" s="2" t="s">
        <v>200</v>
      </c>
      <c r="B19" s="2" t="s">
        <v>212</v>
      </c>
      <c r="C19" s="2" t="s">
        <v>213</v>
      </c>
      <c r="D19" s="2" t="s">
        <v>214</v>
      </c>
      <c r="E19" s="2" t="s">
        <v>215</v>
      </c>
      <c r="F19" s="2" t="s">
        <v>216</v>
      </c>
      <c r="G19" s="2" t="s">
        <v>217</v>
      </c>
      <c r="H19" s="2" t="s">
        <v>218</v>
      </c>
      <c r="I19" s="2" t="s">
        <v>313</v>
      </c>
      <c r="J19" s="2"/>
      <c r="K19" s="2"/>
      <c r="L19" s="2"/>
      <c r="M19" s="2" t="str">
        <f t="shared" si="0"/>
        <v/>
      </c>
      <c r="N19" s="2" t="str">
        <f t="shared" si="1"/>
        <v/>
      </c>
      <c r="O19" s="2" t="str">
        <f t="shared" si="2"/>
        <v/>
      </c>
      <c r="P19" s="2" t="str">
        <f t="shared" si="3"/>
        <v/>
      </c>
      <c r="Q19" s="2" t="s">
        <v>220</v>
      </c>
      <c r="R19" s="2" t="s">
        <v>221</v>
      </c>
      <c r="S19" s="2" t="s">
        <v>222</v>
      </c>
      <c r="T19" s="2"/>
    </row>
    <row r="20" spans="1:20" ht="105.9" customHeight="1" x14ac:dyDescent="0.3">
      <c r="A20" s="2" t="s">
        <v>200</v>
      </c>
      <c r="B20" s="2" t="s">
        <v>223</v>
      </c>
      <c r="C20" s="2" t="s">
        <v>224</v>
      </c>
      <c r="D20" s="2" t="s">
        <v>225</v>
      </c>
      <c r="E20" s="2" t="s">
        <v>226</v>
      </c>
      <c r="F20" s="2" t="s">
        <v>227</v>
      </c>
      <c r="G20" s="2" t="s">
        <v>228</v>
      </c>
      <c r="H20" s="2" t="s">
        <v>229</v>
      </c>
      <c r="I20" s="2" t="s">
        <v>314</v>
      </c>
      <c r="J20" s="2"/>
      <c r="K20" s="2"/>
      <c r="L20" s="2"/>
      <c r="M20" s="2" t="str">
        <f t="shared" si="0"/>
        <v/>
      </c>
      <c r="N20" s="2" t="str">
        <f t="shared" si="1"/>
        <v/>
      </c>
      <c r="O20" s="2" t="str">
        <f t="shared" si="2"/>
        <v/>
      </c>
      <c r="P20" s="2" t="str">
        <f t="shared" si="3"/>
        <v/>
      </c>
      <c r="Q20" s="2" t="s">
        <v>231</v>
      </c>
      <c r="R20" s="2" t="s">
        <v>232</v>
      </c>
      <c r="S20" s="2" t="s">
        <v>233</v>
      </c>
      <c r="T20" s="2"/>
    </row>
    <row r="21" spans="1:20" ht="105.9" customHeight="1" x14ac:dyDescent="0.3">
      <c r="A21" s="2" t="s">
        <v>200</v>
      </c>
      <c r="B21" s="2" t="s">
        <v>234</v>
      </c>
      <c r="C21" s="2" t="s">
        <v>235</v>
      </c>
      <c r="D21" s="2" t="s">
        <v>236</v>
      </c>
      <c r="E21" s="2" t="s">
        <v>237</v>
      </c>
      <c r="F21" s="2" t="s">
        <v>238</v>
      </c>
      <c r="G21" s="2" t="s">
        <v>239</v>
      </c>
      <c r="H21" s="2" t="s">
        <v>240</v>
      </c>
      <c r="I21" s="2" t="s">
        <v>315</v>
      </c>
      <c r="J21" s="2"/>
      <c r="K21" s="2"/>
      <c r="L21" s="2"/>
      <c r="M21" s="2" t="str">
        <f t="shared" si="0"/>
        <v/>
      </c>
      <c r="N21" s="2" t="str">
        <f t="shared" si="1"/>
        <v/>
      </c>
      <c r="O21" s="2" t="str">
        <f t="shared" si="2"/>
        <v/>
      </c>
      <c r="P21" s="2" t="str">
        <f t="shared" si="3"/>
        <v/>
      </c>
      <c r="Q21" s="2" t="s">
        <v>242</v>
      </c>
      <c r="R21" s="2" t="s">
        <v>243</v>
      </c>
      <c r="S21" s="2" t="s">
        <v>244</v>
      </c>
      <c r="T21" s="2"/>
    </row>
  </sheetData>
  <autoFilter ref="A1:T21" xr:uid="{00000000-0009-0000-0000-000000000000}"/>
  <conditionalFormatting sqref="J2:J21">
    <cfRule type="colorScale" priority="1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K2:K21">
    <cfRule type="colorScale" priority="2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L2:L21">
    <cfRule type="colorScale" priority="3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M2:M21">
    <cfRule type="colorScale" priority="4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P2:P21">
    <cfRule type="expression" dxfId="2" priority="5">
      <formula>P2="Alta"</formula>
    </cfRule>
    <cfRule type="expression" dxfId="1" priority="6">
      <formula>P2="Media"</formula>
    </cfRule>
    <cfRule type="expression" dxfId="0" priority="7">
      <formula>P2="Baja"</formula>
    </cfRule>
  </conditionalFormatting>
  <dataValidations count="1">
    <dataValidation type="whole" allowBlank="1" errorTitle="Puntuación no válida" error="Introduce una puntuación entera entre 1 y 5." sqref="J2:J21 K2:K21 L2:L21" xr:uid="{00000000-0002-0000-0000-000000000000}">
      <formula1>1</formula1>
      <formula2>5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7" width="30" customWidth="1"/>
  </cols>
  <sheetData>
    <row r="1" spans="1:7" x14ac:dyDescent="0.3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14</v>
      </c>
      <c r="G1" s="1" t="s">
        <v>15</v>
      </c>
    </row>
    <row r="2" spans="1:7" x14ac:dyDescent="0.3">
      <c r="A2" s="2" t="s">
        <v>20</v>
      </c>
      <c r="B2" s="2" t="str">
        <f>IFERROR(ROUND(AVERAGEIF(Assessment!$A:$A,A2,Assessment!$J:$J),2),"")</f>
        <v/>
      </c>
      <c r="C2" s="2" t="str">
        <f>IFERROR(ROUND(AVERAGEIF(Assessment!$A:$A,A2,Assessment!$K:$K),2),"")</f>
        <v/>
      </c>
      <c r="D2" s="2" t="str">
        <f>IFERROR(ROUND(AVERAGEIF(Assessment!$A:$A,A2,Assessment!$L:$L),2),"")</f>
        <v/>
      </c>
      <c r="E2" s="2" t="str">
        <f>IFERROR(ROUND(AVERAGEIF(Assessment!$A:$A,A2,Assessment!$M:$M),2),"")</f>
        <v/>
      </c>
      <c r="F2" s="2" t="str">
        <f>IF(E2="","",MAX(0,4-E2))</f>
        <v/>
      </c>
      <c r="G2" s="2" t="str">
        <f>IF(E2="","",IF(F2&gt;=2,"Alta",IF(F2&gt;=1,"Media","Baja")))</f>
        <v/>
      </c>
    </row>
    <row r="3" spans="1:7" x14ac:dyDescent="0.3">
      <c r="A3" s="2" t="s">
        <v>65</v>
      </c>
      <c r="B3" s="2" t="str">
        <f>IFERROR(ROUND(AVERAGEIF(Assessment!$A:$A,A3,Assessment!$J:$J),2),"")</f>
        <v/>
      </c>
      <c r="C3" s="2" t="str">
        <f>IFERROR(ROUND(AVERAGEIF(Assessment!$A:$A,A3,Assessment!$K:$K),2),"")</f>
        <v/>
      </c>
      <c r="D3" s="2" t="str">
        <f>IFERROR(ROUND(AVERAGEIF(Assessment!$A:$A,A3,Assessment!$L:$L),2),"")</f>
        <v/>
      </c>
      <c r="E3" s="2" t="str">
        <f>IFERROR(ROUND(AVERAGEIF(Assessment!$A:$A,A3,Assessment!$M:$M),2),"")</f>
        <v/>
      </c>
      <c r="F3" s="2" t="str">
        <f>IF(E3="","",MAX(0,4-E3))</f>
        <v/>
      </c>
      <c r="G3" s="2" t="str">
        <f>IF(E3="","",IF(F3&gt;=2,"Alta",IF(F3&gt;=1,"Media","Baja")))</f>
        <v/>
      </c>
    </row>
    <row r="4" spans="1:7" x14ac:dyDescent="0.3">
      <c r="A4" s="2" t="s">
        <v>110</v>
      </c>
      <c r="B4" s="2" t="str">
        <f>IFERROR(ROUND(AVERAGEIF(Assessment!$A:$A,A4,Assessment!$J:$J),2),"")</f>
        <v/>
      </c>
      <c r="C4" s="2" t="str">
        <f>IFERROR(ROUND(AVERAGEIF(Assessment!$A:$A,A4,Assessment!$K:$K),2),"")</f>
        <v/>
      </c>
      <c r="D4" s="2" t="str">
        <f>IFERROR(ROUND(AVERAGEIF(Assessment!$A:$A,A4,Assessment!$L:$L),2),"")</f>
        <v/>
      </c>
      <c r="E4" s="2" t="str">
        <f>IFERROR(ROUND(AVERAGEIF(Assessment!$A:$A,A4,Assessment!$M:$M),2),"")</f>
        <v/>
      </c>
      <c r="F4" s="2" t="str">
        <f>IF(E4="","",MAX(0,4-E4))</f>
        <v/>
      </c>
      <c r="G4" s="2" t="str">
        <f>IF(E4="","",IF(F4&gt;=2,"Alta",IF(F4&gt;=1,"Media","Baja")))</f>
        <v/>
      </c>
    </row>
    <row r="5" spans="1:7" x14ac:dyDescent="0.3">
      <c r="A5" s="2" t="s">
        <v>155</v>
      </c>
      <c r="B5" s="2" t="str">
        <f>IFERROR(ROUND(AVERAGEIF(Assessment!$A:$A,A5,Assessment!$J:$J),2),"")</f>
        <v/>
      </c>
      <c r="C5" s="2" t="str">
        <f>IFERROR(ROUND(AVERAGEIF(Assessment!$A:$A,A5,Assessment!$K:$K),2),"")</f>
        <v/>
      </c>
      <c r="D5" s="2" t="str">
        <f>IFERROR(ROUND(AVERAGEIF(Assessment!$A:$A,A5,Assessment!$L:$L),2),"")</f>
        <v/>
      </c>
      <c r="E5" s="2" t="str">
        <f>IFERROR(ROUND(AVERAGEIF(Assessment!$A:$A,A5,Assessment!$M:$M),2),"")</f>
        <v/>
      </c>
      <c r="F5" s="2" t="str">
        <f>IF(E5="","",MAX(0,4-E5))</f>
        <v/>
      </c>
      <c r="G5" s="2" t="str">
        <f>IF(E5="","",IF(F5&gt;=2,"Alta",IF(F5&gt;=1,"Media","Baja")))</f>
        <v/>
      </c>
    </row>
    <row r="6" spans="1:7" x14ac:dyDescent="0.3">
      <c r="A6" s="2" t="s">
        <v>200</v>
      </c>
      <c r="B6" s="2" t="str">
        <f>IFERROR(ROUND(AVERAGEIF(Assessment!$A:$A,A6,Assessment!$J:$J),2),"")</f>
        <v/>
      </c>
      <c r="C6" s="2" t="str">
        <f>IFERROR(ROUND(AVERAGEIF(Assessment!$A:$A,A6,Assessment!$K:$K),2),"")</f>
        <v/>
      </c>
      <c r="D6" s="2" t="str">
        <f>IFERROR(ROUND(AVERAGEIF(Assessment!$A:$A,A6,Assessment!$L:$L),2),"")</f>
        <v/>
      </c>
      <c r="E6" s="2" t="str">
        <f>IFERROR(ROUND(AVERAGEIF(Assessment!$A:$A,A6,Assessment!$M:$M),2),"")</f>
        <v/>
      </c>
      <c r="F6" s="2" t="str">
        <f>IF(E6="","",MAX(0,4-E6))</f>
        <v/>
      </c>
      <c r="G6" s="2" t="str">
        <f>IF(E6="","",IF(F6&gt;=2,"Alta",IF(F6&gt;=1,"Media","Baja")))</f>
        <v/>
      </c>
    </row>
    <row r="7" spans="1:7" x14ac:dyDescent="0.3">
      <c r="A7" s="2"/>
      <c r="B7" s="2"/>
      <c r="C7" s="2"/>
      <c r="D7" s="2"/>
      <c r="E7" s="2"/>
      <c r="F7" s="2"/>
      <c r="G7" s="2"/>
    </row>
    <row r="8" spans="1:7" x14ac:dyDescent="0.3">
      <c r="A8" s="3" t="s">
        <v>245</v>
      </c>
      <c r="B8" s="3" t="str">
        <f>IFERROR(ROUND(AVERAGE(B2:B6),2),"")</f>
        <v/>
      </c>
      <c r="C8" s="3" t="str">
        <f>IFERROR(ROUND(AVERAGE(C2:C6),2),"")</f>
        <v/>
      </c>
      <c r="D8" s="3" t="str">
        <f>IFERROR(ROUND(AVERAGE(D2:D6),2),"")</f>
        <v/>
      </c>
      <c r="E8" s="3" t="str">
        <f>IFERROR(ROUND(AVERAGE(E2:E6),2),"")</f>
        <v/>
      </c>
      <c r="F8" s="3" t="str">
        <f>IFERROR(ROUND(AVERAGE(F2:F6),2),"")</f>
        <v/>
      </c>
      <c r="G8" s="3" t="str">
        <f>IF(E8="","",IF(F8&gt;=2,"Alta",IF(F8&gt;=1,"Media","Baja")))</f>
        <v/>
      </c>
    </row>
  </sheetData>
  <autoFilter ref="A1:G8" xr:uid="{00000000-0009-0000-0000-000001000000}"/>
  <conditionalFormatting sqref="B2:B8">
    <cfRule type="colorScale" priority="1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C2:C8">
    <cfRule type="colorScale" priority="2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D2:D8">
    <cfRule type="colorScale" priority="3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E2:E8">
    <cfRule type="colorScale" priority="4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2" width="48" customWidth="1"/>
    <col min="3" max="6" width="14" customWidth="1"/>
    <col min="7" max="7" width="10" customWidth="1"/>
    <col min="8" max="8" width="12" customWidth="1"/>
    <col min="9" max="9" width="60" customWidth="1"/>
  </cols>
  <sheetData>
    <row r="1" spans="1:9" x14ac:dyDescent="0.3">
      <c r="A1" s="1" t="s">
        <v>0</v>
      </c>
      <c r="B1" s="1" t="s">
        <v>1</v>
      </c>
      <c r="C1" s="1" t="s">
        <v>246</v>
      </c>
      <c r="D1" s="1" t="s">
        <v>247</v>
      </c>
      <c r="E1" s="1" t="s">
        <v>248</v>
      </c>
      <c r="F1" s="1" t="s">
        <v>249</v>
      </c>
      <c r="G1" s="1" t="s">
        <v>250</v>
      </c>
      <c r="H1" s="1" t="s">
        <v>15</v>
      </c>
      <c r="I1" s="1" t="s">
        <v>251</v>
      </c>
    </row>
    <row r="2" spans="1:9" ht="28.8" x14ac:dyDescent="0.3">
      <c r="A2" s="2" t="str">
        <f>Assessment!A2</f>
        <v>Source-to-Pay</v>
      </c>
      <c r="B2" s="2" t="str">
        <f>Assessment!B2</f>
        <v>1.1 Estrategia de compras, categorías y demanda</v>
      </c>
      <c r="C2" s="2">
        <f>Assessment!J2</f>
        <v>0</v>
      </c>
      <c r="D2" s="2">
        <f>Assessment!K2</f>
        <v>0</v>
      </c>
      <c r="E2" s="2">
        <f>Assessment!L2</f>
        <v>0</v>
      </c>
      <c r="F2" s="2" t="str">
        <f>Assessment!M2</f>
        <v/>
      </c>
      <c r="G2" s="2" t="str">
        <f>Assessment!O2</f>
        <v/>
      </c>
      <c r="H2" s="2" t="str">
        <f>Assessment!P2</f>
        <v/>
      </c>
      <c r="I2" s="2" t="str">
        <f>Assessment!I2</f>
        <v>Using data from contract management system, forecast monthly expense for all third-party contracts; Resilient logistics and planning</v>
      </c>
    </row>
    <row r="3" spans="1:9" ht="28.8" x14ac:dyDescent="0.3">
      <c r="A3" s="2" t="str">
        <f>Assessment!A3</f>
        <v>Source-to-Pay</v>
      </c>
      <c r="B3" s="2" t="str">
        <f>Assessment!B3</f>
        <v>1.2 Selección, evaluación y gestión de proveedores</v>
      </c>
      <c r="C3" s="2">
        <f>Assessment!J3</f>
        <v>0</v>
      </c>
      <c r="D3" s="2">
        <f>Assessment!K3</f>
        <v>0</v>
      </c>
      <c r="E3" s="2">
        <f>Assessment!L3</f>
        <v>0</v>
      </c>
      <c r="F3" s="2" t="str">
        <f>Assessment!M3</f>
        <v/>
      </c>
      <c r="G3" s="2" t="str">
        <f>Assessment!O3</f>
        <v/>
      </c>
      <c r="H3" s="2" t="str">
        <f>Assessment!P3</f>
        <v/>
      </c>
      <c r="I3" s="2" t="str">
        <f>Assessment!I3</f>
        <v>Resilient logistics and planning; Supplier assessment AI; Drafting contracts and SoWs</v>
      </c>
    </row>
    <row r="4" spans="1:9" ht="43.2" x14ac:dyDescent="0.3">
      <c r="A4" s="2" t="str">
        <f>Assessment!A4</f>
        <v>Source-to-Pay</v>
      </c>
      <c r="B4" s="2" t="str">
        <f>Assessment!B4</f>
        <v>1.3 Gestión contractual, RFPs y SoWs</v>
      </c>
      <c r="C4" s="2">
        <f>Assessment!J4</f>
        <v>0</v>
      </c>
      <c r="D4" s="2">
        <f>Assessment!K4</f>
        <v>0</v>
      </c>
      <c r="E4" s="2">
        <f>Assessment!L4</f>
        <v>0</v>
      </c>
      <c r="F4" s="2" t="str">
        <f>Assessment!M4</f>
        <v/>
      </c>
      <c r="G4" s="2" t="str">
        <f>Assessment!O4</f>
        <v/>
      </c>
      <c r="H4" s="2" t="str">
        <f>Assessment!P4</f>
        <v/>
      </c>
      <c r="I4" s="2" t="str">
        <f>Assessment!I4</f>
        <v>Drafting contracts and SoWs; AI-powered RFP and knowledge assistant; Using data from contract management system forecast monthly expense</v>
      </c>
    </row>
    <row r="5" spans="1:9" ht="43.2" x14ac:dyDescent="0.3">
      <c r="A5" s="2" t="str">
        <f>Assessment!A5</f>
        <v>Source-to-Pay</v>
      </c>
      <c r="B5" s="2" t="str">
        <f>Assessment!B5</f>
        <v>1.4 Orden de compra, recepción y aprobación</v>
      </c>
      <c r="C5" s="2">
        <f>Assessment!J5</f>
        <v>0</v>
      </c>
      <c r="D5" s="2">
        <f>Assessment!K5</f>
        <v>0</v>
      </c>
      <c r="E5" s="2">
        <f>Assessment!L5</f>
        <v>0</v>
      </c>
      <c r="F5" s="2" t="str">
        <f>Assessment!M5</f>
        <v/>
      </c>
      <c r="G5" s="2" t="str">
        <f>Assessment!O5</f>
        <v/>
      </c>
      <c r="H5" s="2" t="str">
        <f>Assessment!P5</f>
        <v/>
      </c>
      <c r="I5" s="2" t="str">
        <f>Assessment!I5</f>
        <v>Recommend most optimal payment timing; Proactive defect resolution recommendations; Guided adaptable workflows for master data record changes</v>
      </c>
    </row>
    <row r="6" spans="1:9" ht="43.2" x14ac:dyDescent="0.3">
      <c r="A6" s="2" t="str">
        <f>Assessment!A6</f>
        <v>Order-to-Cash</v>
      </c>
      <c r="B6" s="2" t="str">
        <f>Assessment!B6</f>
        <v>2.1 Gestión de pedidos, contratos y condiciones comerciales</v>
      </c>
      <c r="C6" s="2">
        <f>Assessment!J6</f>
        <v>0</v>
      </c>
      <c r="D6" s="2">
        <f>Assessment!K6</f>
        <v>0</v>
      </c>
      <c r="E6" s="2">
        <f>Assessment!L6</f>
        <v>0</v>
      </c>
      <c r="F6" s="2" t="str">
        <f>Assessment!M6</f>
        <v/>
      </c>
      <c r="G6" s="2" t="str">
        <f>Assessment!O6</f>
        <v/>
      </c>
      <c r="H6" s="2" t="str">
        <f>Assessment!P6</f>
        <v/>
      </c>
      <c r="I6" s="2" t="str">
        <f>Assessment!I6</f>
        <v>Read customer contracts and identify performance obligations; Identify &amp; proactively correct revenue leakage; AI assistant for vehicle buying and leasing</v>
      </c>
    </row>
    <row r="7" spans="1:9" ht="28.8" x14ac:dyDescent="0.3">
      <c r="A7" s="2" t="str">
        <f>Assessment!A7</f>
        <v>Order-to-Cash</v>
      </c>
      <c r="B7" s="2" t="str">
        <f>Assessment!B7</f>
        <v>2.2 Facturación y emisión de documentos</v>
      </c>
      <c r="C7" s="2">
        <f>Assessment!J7</f>
        <v>0</v>
      </c>
      <c r="D7" s="2">
        <f>Assessment!K7</f>
        <v>0</v>
      </c>
      <c r="E7" s="2">
        <f>Assessment!L7</f>
        <v>0</v>
      </c>
      <c r="F7" s="2" t="str">
        <f>Assessment!M7</f>
        <v/>
      </c>
      <c r="G7" s="2" t="str">
        <f>Assessment!O7</f>
        <v/>
      </c>
      <c r="H7" s="2" t="str">
        <f>Assessment!P7</f>
        <v/>
      </c>
      <c r="I7" s="2" t="str">
        <f>Assessment!I7</f>
        <v>Automated invoice error detection &amp; correction; Generate customized invoices for nonstandard customer orders</v>
      </c>
    </row>
    <row r="8" spans="1:9" ht="43.2" x14ac:dyDescent="0.3">
      <c r="A8" s="2" t="str">
        <f>Assessment!A8</f>
        <v>Order-to-Cash</v>
      </c>
      <c r="B8" s="2" t="str">
        <f>Assessment!B8</f>
        <v>2.3 Cobros, aplicación de pagos y gestión de disputas</v>
      </c>
      <c r="C8" s="2">
        <f>Assessment!J8</f>
        <v>0</v>
      </c>
      <c r="D8" s="2">
        <f>Assessment!K8</f>
        <v>0</v>
      </c>
      <c r="E8" s="2">
        <f>Assessment!L8</f>
        <v>0</v>
      </c>
      <c r="F8" s="2" t="str">
        <f>Assessment!M8</f>
        <v/>
      </c>
      <c r="G8" s="2" t="str">
        <f>Assessment!O8</f>
        <v/>
      </c>
      <c r="H8" s="2" t="str">
        <f>Assessment!P8</f>
        <v/>
      </c>
      <c r="I8" s="2" t="str">
        <f>Assessment!I8</f>
        <v>Facilitate payment collection to identify collections gaps and automate outreach; Recommend optimal payment terms to improve DSO; Denial appeal letters</v>
      </c>
    </row>
    <row r="9" spans="1:9" ht="28.8" x14ac:dyDescent="0.3">
      <c r="A9" s="2" t="str">
        <f>Assessment!A9</f>
        <v>Order-to-Cash</v>
      </c>
      <c r="B9" s="2" t="str">
        <f>Assessment!B9</f>
        <v>2.4 Crédito, riesgo cliente y control de exposición</v>
      </c>
      <c r="C9" s="2">
        <f>Assessment!J9</f>
        <v>0</v>
      </c>
      <c r="D9" s="2">
        <f>Assessment!K9</f>
        <v>0</v>
      </c>
      <c r="E9" s="2">
        <f>Assessment!L9</f>
        <v>0</v>
      </c>
      <c r="F9" s="2" t="str">
        <f>Assessment!M9</f>
        <v/>
      </c>
      <c r="G9" s="2" t="str">
        <f>Assessment!O9</f>
        <v/>
      </c>
      <c r="H9" s="2" t="str">
        <f>Assessment!P9</f>
        <v/>
      </c>
      <c r="I9" s="2" t="str">
        <f>Assessment!I9</f>
        <v>AI agents for credit underwriting; Predicts late payments or defaults; Recommend optimal payment terms to improve DSO</v>
      </c>
    </row>
    <row r="10" spans="1:9" ht="43.2" x14ac:dyDescent="0.3">
      <c r="A10" s="2" t="str">
        <f>Assessment!A10</f>
        <v>Activos fijos / Gestión de activos</v>
      </c>
      <c r="B10" s="2" t="str">
        <f>Assessment!B10</f>
        <v>3.1 Alta, capitalización y clasificación de activos</v>
      </c>
      <c r="C10" s="2">
        <f>Assessment!J10</f>
        <v>0</v>
      </c>
      <c r="D10" s="2">
        <f>Assessment!K10</f>
        <v>0</v>
      </c>
      <c r="E10" s="2">
        <f>Assessment!L10</f>
        <v>0</v>
      </c>
      <c r="F10" s="2" t="str">
        <f>Assessment!M10</f>
        <v/>
      </c>
      <c r="G10" s="2" t="str">
        <f>Assessment!O10</f>
        <v/>
      </c>
      <c r="H10" s="2" t="str">
        <f>Assessment!P10</f>
        <v/>
      </c>
      <c r="I10" s="2" t="str">
        <f>Assessment!I10</f>
        <v>Identify expense classification errors; Generate metadata documentation; Guided adaptable workflows for master data record changes</v>
      </c>
    </row>
    <row r="11" spans="1:9" ht="43.2" x14ac:dyDescent="0.3">
      <c r="A11" s="2" t="str">
        <f>Assessment!A11</f>
        <v>Activos fijos / Gestión de activos</v>
      </c>
      <c r="B11" s="2" t="str">
        <f>Assessment!B11</f>
        <v>3.2 Inventario, localización y trazabilidad de activos</v>
      </c>
      <c r="C11" s="2">
        <f>Assessment!J11</f>
        <v>0</v>
      </c>
      <c r="D11" s="2">
        <f>Assessment!K11</f>
        <v>0</v>
      </c>
      <c r="E11" s="2">
        <f>Assessment!L11</f>
        <v>0</v>
      </c>
      <c r="F11" s="2" t="str">
        <f>Assessment!M11</f>
        <v/>
      </c>
      <c r="G11" s="2" t="str">
        <f>Assessment!O11</f>
        <v/>
      </c>
      <c r="H11" s="2" t="str">
        <f>Assessment!P11</f>
        <v/>
      </c>
      <c r="I11" s="2" t="str">
        <f>Assessment!I11</f>
        <v>Identify inconsistencies in master data records; AI-powered archive access and extraction; Autonomous drone-based infrastructure inspection</v>
      </c>
    </row>
    <row r="12" spans="1:9" ht="28.8" x14ac:dyDescent="0.3">
      <c r="A12" s="2" t="str">
        <f>Assessment!A12</f>
        <v>Activos fijos / Gestión de activos</v>
      </c>
      <c r="B12" s="2" t="str">
        <f>Assessment!B12</f>
        <v>3.3 Depreciación, impairments y valoración</v>
      </c>
      <c r="C12" s="2">
        <f>Assessment!J12</f>
        <v>0</v>
      </c>
      <c r="D12" s="2">
        <f>Assessment!K12</f>
        <v>0</v>
      </c>
      <c r="E12" s="2">
        <f>Assessment!L12</f>
        <v>0</v>
      </c>
      <c r="F12" s="2" t="str">
        <f>Assessment!M12</f>
        <v/>
      </c>
      <c r="G12" s="2" t="str">
        <f>Assessment!O12</f>
        <v/>
      </c>
      <c r="H12" s="2" t="str">
        <f>Assessment!P12</f>
        <v/>
      </c>
      <c r="I12" s="2" t="str">
        <f>Assessment!I12</f>
        <v>AI-driven predictive maintenance; Identify past data patterns to predict and improve future financial performance</v>
      </c>
    </row>
    <row r="13" spans="1:9" ht="28.8" x14ac:dyDescent="0.3">
      <c r="A13" s="2" t="str">
        <f>Assessment!A13</f>
        <v>Activos fijos / Gestión de activos</v>
      </c>
      <c r="B13" s="2" t="str">
        <f>Assessment!B13</f>
        <v>3.4 Bajas, desinversiones y control de CAPEX</v>
      </c>
      <c r="C13" s="2">
        <f>Assessment!J13</f>
        <v>0</v>
      </c>
      <c r="D13" s="2">
        <f>Assessment!K13</f>
        <v>0</v>
      </c>
      <c r="E13" s="2">
        <f>Assessment!L13</f>
        <v>0</v>
      </c>
      <c r="F13" s="2" t="str">
        <f>Assessment!M13</f>
        <v/>
      </c>
      <c r="G13" s="2" t="str">
        <f>Assessment!O13</f>
        <v/>
      </c>
      <c r="H13" s="2" t="str">
        <f>Assessment!P13</f>
        <v/>
      </c>
      <c r="I13" s="2" t="str">
        <f>Assessment!I13</f>
        <v>Project-level recommendations; AI-driven predictive maintenance; Autonomous drone-based infrastructure inspection</v>
      </c>
    </row>
    <row r="14" spans="1:9" ht="28.8" x14ac:dyDescent="0.3">
      <c r="A14" s="2" t="str">
        <f>Assessment!A14</f>
        <v>Informes operativos</v>
      </c>
      <c r="B14" s="2" t="str">
        <f>Assessment!B14</f>
        <v>4.1 Modelo de KPIs operativos financieros</v>
      </c>
      <c r="C14" s="2">
        <f>Assessment!J14</f>
        <v>0</v>
      </c>
      <c r="D14" s="2">
        <f>Assessment!K14</f>
        <v>0</v>
      </c>
      <c r="E14" s="2">
        <f>Assessment!L14</f>
        <v>0</v>
      </c>
      <c r="F14" s="2" t="str">
        <f>Assessment!M14</f>
        <v/>
      </c>
      <c r="G14" s="2" t="str">
        <f>Assessment!O14</f>
        <v/>
      </c>
      <c r="H14" s="2" t="str">
        <f>Assessment!P14</f>
        <v/>
      </c>
      <c r="I14" s="2" t="str">
        <f>Assessment!I14</f>
        <v>Proactive defect resolution recommendations; Next-generation store operations; AI agents for service lifecycle management</v>
      </c>
    </row>
    <row r="15" spans="1:9" ht="43.2" x14ac:dyDescent="0.3">
      <c r="A15" s="2" t="str">
        <f>Assessment!A15</f>
        <v>Informes operativos</v>
      </c>
      <c r="B15" s="2" t="str">
        <f>Assessment!B15</f>
        <v>4.2 Calidad, integración y gobierno de datos operativos</v>
      </c>
      <c r="C15" s="2">
        <f>Assessment!J15</f>
        <v>0</v>
      </c>
      <c r="D15" s="2">
        <f>Assessment!K15</f>
        <v>0</v>
      </c>
      <c r="E15" s="2">
        <f>Assessment!L15</f>
        <v>0</v>
      </c>
      <c r="F15" s="2" t="str">
        <f>Assessment!M15</f>
        <v/>
      </c>
      <c r="G15" s="2" t="str">
        <f>Assessment!O15</f>
        <v/>
      </c>
      <c r="H15" s="2" t="str">
        <f>Assessment!P15</f>
        <v/>
      </c>
      <c r="I15" s="2" t="str">
        <f>Assessment!I15</f>
        <v>Guided adaptable workflows for master data record changes; Identify inconsistencies in master data records; Automate financial data across diverse sources</v>
      </c>
    </row>
    <row r="16" spans="1:9" ht="28.8" x14ac:dyDescent="0.3">
      <c r="A16" s="2" t="str">
        <f>Assessment!A16</f>
        <v>Informes operativos</v>
      </c>
      <c r="B16" s="2" t="str">
        <f>Assessment!B16</f>
        <v>4.3 Automatización del reporting operativo</v>
      </c>
      <c r="C16" s="2">
        <f>Assessment!J16</f>
        <v>0</v>
      </c>
      <c r="D16" s="2">
        <f>Assessment!K16</f>
        <v>0</v>
      </c>
      <c r="E16" s="2">
        <f>Assessment!L16</f>
        <v>0</v>
      </c>
      <c r="F16" s="2" t="str">
        <f>Assessment!M16</f>
        <v/>
      </c>
      <c r="G16" s="2" t="str">
        <f>Assessment!O16</f>
        <v/>
      </c>
      <c r="H16" s="2" t="str">
        <f>Assessment!P16</f>
        <v/>
      </c>
      <c r="I16" s="2" t="str">
        <f>Assessment!I16</f>
        <v>Data access for all; Enterprise-wide data search and access; AI-powered archive access and extraction</v>
      </c>
    </row>
    <row r="17" spans="1:9" ht="28.8" x14ac:dyDescent="0.3">
      <c r="A17" s="2" t="str">
        <f>Assessment!A17</f>
        <v>Informes operativos</v>
      </c>
      <c r="B17" s="2" t="str">
        <f>Assessment!B17</f>
        <v>4.4 Rutinas de gestión, incidencias y mejora continua</v>
      </c>
      <c r="C17" s="2">
        <f>Assessment!J17</f>
        <v>0</v>
      </c>
      <c r="D17" s="2">
        <f>Assessment!K17</f>
        <v>0</v>
      </c>
      <c r="E17" s="2">
        <f>Assessment!L17</f>
        <v>0</v>
      </c>
      <c r="F17" s="2" t="str">
        <f>Assessment!M17</f>
        <v/>
      </c>
      <c r="G17" s="2" t="str">
        <f>Assessment!O17</f>
        <v/>
      </c>
      <c r="H17" s="2" t="str">
        <f>Assessment!P17</f>
        <v/>
      </c>
      <c r="I17" s="2" t="str">
        <f>Assessment!I17</f>
        <v>Proactive defect resolution recommendations; Autonomous field operations management; AI-driven permitting</v>
      </c>
    </row>
    <row r="18" spans="1:9" ht="28.8" x14ac:dyDescent="0.3">
      <c r="A18" s="2" t="str">
        <f>Assessment!A18</f>
        <v>Contabilidad de proyectos</v>
      </c>
      <c r="B18" s="2" t="str">
        <f>Assessment!B18</f>
        <v>5.1 Alta, estructura y codificación de proyectos</v>
      </c>
      <c r="C18" s="2">
        <f>Assessment!J18</f>
        <v>0</v>
      </c>
      <c r="D18" s="2">
        <f>Assessment!K18</f>
        <v>0</v>
      </c>
      <c r="E18" s="2">
        <f>Assessment!L18</f>
        <v>0</v>
      </c>
      <c r="F18" s="2" t="str">
        <f>Assessment!M18</f>
        <v/>
      </c>
      <c r="G18" s="2" t="str">
        <f>Assessment!O18</f>
        <v/>
      </c>
      <c r="H18" s="2" t="str">
        <f>Assessment!P18</f>
        <v/>
      </c>
      <c r="I18" s="2" t="str">
        <f>Assessment!I18</f>
        <v>Drafting contracts and SoWs; Generate metadata documentation; AI-powered RFP and knowledge assistant</v>
      </c>
    </row>
    <row r="19" spans="1:9" ht="43.2" x14ac:dyDescent="0.3">
      <c r="A19" s="2" t="str">
        <f>Assessment!A19</f>
        <v>Contabilidad de proyectos</v>
      </c>
      <c r="B19" s="2" t="str">
        <f>Assessment!B19</f>
        <v>5.2 Registro, imputación y control de costes</v>
      </c>
      <c r="C19" s="2">
        <f>Assessment!J19</f>
        <v>0</v>
      </c>
      <c r="D19" s="2">
        <f>Assessment!K19</f>
        <v>0</v>
      </c>
      <c r="E19" s="2">
        <f>Assessment!L19</f>
        <v>0</v>
      </c>
      <c r="F19" s="2" t="str">
        <f>Assessment!M19</f>
        <v/>
      </c>
      <c r="G19" s="2" t="str">
        <f>Assessment!O19</f>
        <v/>
      </c>
      <c r="H19" s="2" t="str">
        <f>Assessment!P19</f>
        <v/>
      </c>
      <c r="I19" s="2" t="str">
        <f>Assessment!I19</f>
        <v>Identify expense classification errors; Proactive defect resolution recommendations; Identify past data patterns to predict and improve future financial performance</v>
      </c>
    </row>
    <row r="20" spans="1:9" ht="43.2" x14ac:dyDescent="0.3">
      <c r="A20" s="2" t="str">
        <f>Assessment!A20</f>
        <v>Contabilidad de proyectos</v>
      </c>
      <c r="B20" s="2" t="str">
        <f>Assessment!B20</f>
        <v>5.3 Facturación, ingresos y margen de proyectos</v>
      </c>
      <c r="C20" s="2">
        <f>Assessment!J20</f>
        <v>0</v>
      </c>
      <c r="D20" s="2">
        <f>Assessment!K20</f>
        <v>0</v>
      </c>
      <c r="E20" s="2">
        <f>Assessment!L20</f>
        <v>0</v>
      </c>
      <c r="F20" s="2" t="str">
        <f>Assessment!M20</f>
        <v/>
      </c>
      <c r="G20" s="2" t="str">
        <f>Assessment!O20</f>
        <v/>
      </c>
      <c r="H20" s="2" t="str">
        <f>Assessment!P20</f>
        <v/>
      </c>
      <c r="I20" s="2" t="str">
        <f>Assessment!I20</f>
        <v>Read customer contracts and identify performance obligations; Identify &amp; proactively correct revenue leakage; Automated invoice error detection &amp; correction</v>
      </c>
    </row>
    <row r="21" spans="1:9" ht="43.2" x14ac:dyDescent="0.3">
      <c r="A21" s="2" t="str">
        <f>Assessment!A21</f>
        <v>Contabilidad de proyectos</v>
      </c>
      <c r="B21" s="2" t="str">
        <f>Assessment!B21</f>
        <v>5.4 Forecast, cierre y análisis del proyecto</v>
      </c>
      <c r="C21" s="2">
        <f>Assessment!J21</f>
        <v>0</v>
      </c>
      <c r="D21" s="2">
        <f>Assessment!K21</f>
        <v>0</v>
      </c>
      <c r="E21" s="2">
        <f>Assessment!L21</f>
        <v>0</v>
      </c>
      <c r="F21" s="2" t="str">
        <f>Assessment!M21</f>
        <v/>
      </c>
      <c r="G21" s="2" t="str">
        <f>Assessment!O21</f>
        <v/>
      </c>
      <c r="H21" s="2" t="str">
        <f>Assessment!P21</f>
        <v/>
      </c>
      <c r="I21" s="2" t="str">
        <f>Assessment!I21</f>
        <v>Identify past data patterns to predict and improve future financial performance; Generate executive level overview of company financial health; Project-level recommendations</v>
      </c>
    </row>
  </sheetData>
  <autoFilter ref="A1:I21" xr:uid="{00000000-0009-0000-0000-000002000000}"/>
  <conditionalFormatting sqref="C2:C21">
    <cfRule type="colorScale" priority="1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D2:D21">
    <cfRule type="colorScale" priority="2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E2:E21">
    <cfRule type="colorScale" priority="3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F2:F21">
    <cfRule type="colorScale" priority="4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2" width="48" customWidth="1"/>
    <col min="3" max="3" width="10" customWidth="1"/>
    <col min="4" max="4" width="12" customWidth="1"/>
    <col min="5" max="5" width="78" customWidth="1"/>
    <col min="6" max="6" width="60" customWidth="1"/>
    <col min="7" max="7" width="15" customWidth="1"/>
    <col min="8" max="8" width="20" customWidth="1"/>
    <col min="9" max="9" width="15" customWidth="1"/>
    <col min="10" max="10" width="40" customWidth="1"/>
  </cols>
  <sheetData>
    <row r="1" spans="1:10" x14ac:dyDescent="0.3">
      <c r="A1" s="1" t="s">
        <v>0</v>
      </c>
      <c r="B1" s="1" t="s">
        <v>1</v>
      </c>
      <c r="C1" s="1" t="s">
        <v>250</v>
      </c>
      <c r="D1" s="1" t="s">
        <v>15</v>
      </c>
      <c r="E1" s="1" t="s">
        <v>18</v>
      </c>
      <c r="F1" s="1" t="s">
        <v>252</v>
      </c>
      <c r="G1" s="1" t="s">
        <v>253</v>
      </c>
      <c r="H1" s="1" t="s">
        <v>254</v>
      </c>
      <c r="I1" s="1" t="s">
        <v>255</v>
      </c>
      <c r="J1" s="1" t="s">
        <v>256</v>
      </c>
    </row>
    <row r="2" spans="1:10" ht="28.8" x14ac:dyDescent="0.3">
      <c r="A2" s="2" t="str">
        <f>Assessment!A2</f>
        <v>Source-to-Pay</v>
      </c>
      <c r="B2" s="2" t="str">
        <f>Assessment!B2</f>
        <v>1.1 Estrategia de compras, categorías y demanda</v>
      </c>
      <c r="C2" s="2" t="str">
        <f>Assessment!O2</f>
        <v/>
      </c>
      <c r="D2" s="2" t="str">
        <f>Assessment!P2</f>
        <v/>
      </c>
      <c r="E2" s="2" t="str">
        <f>Assessment!S2</f>
        <v>Implantar planificación de demanda de compras por categoría con previsión de gasto contractual y conexión con presupuesto.</v>
      </c>
      <c r="F2" s="2" t="str">
        <f>Assessment!I2</f>
        <v/>
      </c>
      <c r="G2" s="2" t="str">
        <f t="shared" ref="G2:G21" si="0">IF(D2="Alta","Oleada 1",IF(D2="Media","Oleada 2","Oleada 3"))</f>
        <v>Oleada 3</v>
      </c>
      <c r="H2" s="2"/>
      <c r="I2" s="2" t="s">
        <v>257</v>
      </c>
      <c r="J2" s="2"/>
    </row>
    <row r="3" spans="1:10" ht="28.8" x14ac:dyDescent="0.3">
      <c r="A3" s="2" t="str">
        <f>Assessment!A3</f>
        <v>Source-to-Pay</v>
      </c>
      <c r="B3" s="2" t="str">
        <f>Assessment!B3</f>
        <v>1.2 Selección, evaluación y gestión de proveedores</v>
      </c>
      <c r="C3" s="2" t="str">
        <f>Assessment!O3</f>
        <v/>
      </c>
      <c r="D3" s="2" t="str">
        <f>Assessment!P3</f>
        <v/>
      </c>
      <c r="E3" s="2" t="str">
        <f>Assessment!S3</f>
        <v>Crear modelo de inteligencia de proveedores con indicadores de desempeño, riesgo, cumplimiento y recomendaciones de aprovisionamiento.</v>
      </c>
      <c r="F3" s="2" t="str">
        <f>Assessment!I3</f>
        <v/>
      </c>
      <c r="G3" s="2" t="str">
        <f t="shared" si="0"/>
        <v>Oleada 3</v>
      </c>
      <c r="H3" s="2"/>
      <c r="I3" s="2" t="s">
        <v>257</v>
      </c>
      <c r="J3" s="2"/>
    </row>
    <row r="4" spans="1:10" ht="43.2" x14ac:dyDescent="0.3">
      <c r="A4" s="2" t="str">
        <f>Assessment!A4</f>
        <v>Source-to-Pay</v>
      </c>
      <c r="B4" s="2" t="str">
        <f>Assessment!B4</f>
        <v>1.3 Gestión contractual, RFPs y SoWs</v>
      </c>
      <c r="C4" s="2" t="str">
        <f>Assessment!O4</f>
        <v/>
      </c>
      <c r="D4" s="2" t="str">
        <f>Assessment!P4</f>
        <v/>
      </c>
      <c r="E4" s="2" t="str">
        <f>Assessment!S4</f>
        <v>Implantar asistente contractual AI para generación, revisión y explotación financiera de contratos y SoWs.</v>
      </c>
      <c r="F4" s="2" t="str">
        <f>Assessment!I4</f>
        <v/>
      </c>
      <c r="G4" s="2" t="str">
        <f t="shared" si="0"/>
        <v>Oleada 3</v>
      </c>
      <c r="H4" s="2"/>
      <c r="I4" s="2" t="s">
        <v>257</v>
      </c>
      <c r="J4" s="2"/>
    </row>
    <row r="5" spans="1:10" ht="43.2" x14ac:dyDescent="0.3">
      <c r="A5" s="2" t="str">
        <f>Assessment!A5</f>
        <v>Source-to-Pay</v>
      </c>
      <c r="B5" s="2" t="str">
        <f>Assessment!B5</f>
        <v>1.4 Orden de compra, recepción y aprobación</v>
      </c>
      <c r="C5" s="2" t="str">
        <f>Assessment!O5</f>
        <v/>
      </c>
      <c r="D5" s="2" t="str">
        <f>Assessment!P5</f>
        <v/>
      </c>
      <c r="E5" s="2" t="str">
        <f>Assessment!S5</f>
        <v>Digitalizar el flujo de solicitud, pedido y recepción con controles automáticos, excepciones y recomendaciones de aprobación y pago.</v>
      </c>
      <c r="F5" s="2" t="str">
        <f>Assessment!I5</f>
        <v/>
      </c>
      <c r="G5" s="2" t="str">
        <f t="shared" si="0"/>
        <v>Oleada 3</v>
      </c>
      <c r="H5" s="2"/>
      <c r="I5" s="2" t="s">
        <v>257</v>
      </c>
      <c r="J5" s="2"/>
    </row>
    <row r="6" spans="1:10" ht="43.2" x14ac:dyDescent="0.3">
      <c r="A6" s="2" t="str">
        <f>Assessment!A6</f>
        <v>Order-to-Cash</v>
      </c>
      <c r="B6" s="2" t="str">
        <f>Assessment!B6</f>
        <v>2.1 Gestión de pedidos, contratos y condiciones comerciales</v>
      </c>
      <c r="C6" s="2" t="str">
        <f>Assessment!O6</f>
        <v/>
      </c>
      <c r="D6" s="2" t="str">
        <f>Assessment!P6</f>
        <v/>
      </c>
      <c r="E6" s="2" t="str">
        <f>Assessment!S6</f>
        <v>Crear controles automáticos de pedido/contrato/precio con detección de condiciones atípicas y fugas de ingresos.</v>
      </c>
      <c r="F6" s="2" t="str">
        <f>Assessment!I6</f>
        <v/>
      </c>
      <c r="G6" s="2" t="str">
        <f t="shared" si="0"/>
        <v>Oleada 3</v>
      </c>
      <c r="H6" s="2"/>
      <c r="I6" s="2" t="s">
        <v>257</v>
      </c>
      <c r="J6" s="2"/>
    </row>
    <row r="7" spans="1:10" ht="28.8" x14ac:dyDescent="0.3">
      <c r="A7" s="2" t="str">
        <f>Assessment!A7</f>
        <v>Order-to-Cash</v>
      </c>
      <c r="B7" s="2" t="str">
        <f>Assessment!B7</f>
        <v>2.2 Facturación y emisión de documentos</v>
      </c>
      <c r="C7" s="2" t="str">
        <f>Assessment!O7</f>
        <v/>
      </c>
      <c r="D7" s="2" t="str">
        <f>Assessment!P7</f>
        <v/>
      </c>
      <c r="E7" s="2" t="str">
        <f>Assessment!S7</f>
        <v>Implantar motor AI de validación y corrección preventiva de facturas antes de emisión.</v>
      </c>
      <c r="F7" s="2" t="str">
        <f>Assessment!I7</f>
        <v/>
      </c>
      <c r="G7" s="2" t="str">
        <f t="shared" si="0"/>
        <v>Oleada 3</v>
      </c>
      <c r="H7" s="2"/>
      <c r="I7" s="2" t="s">
        <v>257</v>
      </c>
      <c r="J7" s="2"/>
    </row>
    <row r="8" spans="1:10" ht="43.2" x14ac:dyDescent="0.3">
      <c r="A8" s="2" t="str">
        <f>Assessment!A8</f>
        <v>Order-to-Cash</v>
      </c>
      <c r="B8" s="2" t="str">
        <f>Assessment!B8</f>
        <v>2.3 Cobros, aplicación de pagos y gestión de disputas</v>
      </c>
      <c r="C8" s="2" t="str">
        <f>Assessment!O8</f>
        <v/>
      </c>
      <c r="D8" s="2" t="str">
        <f>Assessment!P8</f>
        <v/>
      </c>
      <c r="E8" s="2" t="str">
        <f>Assessment!S8</f>
        <v>Desplegar asistente inteligente de gestión de cobros con priorización, contacto automatizado con clientes y recomendaciones de condiciones.</v>
      </c>
      <c r="F8" s="2" t="str">
        <f>Assessment!I8</f>
        <v/>
      </c>
      <c r="G8" s="2" t="str">
        <f t="shared" si="0"/>
        <v>Oleada 3</v>
      </c>
      <c r="H8" s="2"/>
      <c r="I8" s="2" t="s">
        <v>257</v>
      </c>
      <c r="J8" s="2"/>
    </row>
    <row r="9" spans="1:10" ht="28.8" x14ac:dyDescent="0.3">
      <c r="A9" s="2" t="str">
        <f>Assessment!A9</f>
        <v>Order-to-Cash</v>
      </c>
      <c r="B9" s="2" t="str">
        <f>Assessment!B9</f>
        <v>2.4 Crédito, riesgo cliente y control de exposición</v>
      </c>
      <c r="C9" s="2" t="str">
        <f>Assessment!O9</f>
        <v/>
      </c>
      <c r="D9" s="2" t="str">
        <f>Assessment!P9</f>
        <v/>
      </c>
      <c r="E9" s="2" t="str">
        <f>Assessment!S9</f>
        <v>Construir modelo predictivo de riesgo cliente con recomendaciones de límite, términos y acciones preventivas.</v>
      </c>
      <c r="F9" s="2" t="str">
        <f>Assessment!I9</f>
        <v/>
      </c>
      <c r="G9" s="2" t="str">
        <f t="shared" si="0"/>
        <v>Oleada 3</v>
      </c>
      <c r="H9" s="2"/>
      <c r="I9" s="2" t="s">
        <v>257</v>
      </c>
      <c r="J9" s="2"/>
    </row>
    <row r="10" spans="1:10" ht="43.2" x14ac:dyDescent="0.3">
      <c r="A10" s="2" t="str">
        <f>Assessment!A10</f>
        <v>Activos fijos / Gestión de activos</v>
      </c>
      <c r="B10" s="2" t="str">
        <f>Assessment!B10</f>
        <v>3.1 Alta, capitalización y clasificación de activos</v>
      </c>
      <c r="C10" s="2" t="str">
        <f>Assessment!O10</f>
        <v/>
      </c>
      <c r="D10" s="2" t="str">
        <f>Assessment!P10</f>
        <v/>
      </c>
      <c r="E10" s="2" t="str">
        <f>Assessment!S10</f>
        <v>Implantar clasificación asistida CAPEX/OPEX y flujo de alta de activos con controles de soporte documental.</v>
      </c>
      <c r="F10" s="2" t="str">
        <f>Assessment!I10</f>
        <v/>
      </c>
      <c r="G10" s="2" t="str">
        <f t="shared" si="0"/>
        <v>Oleada 3</v>
      </c>
      <c r="H10" s="2"/>
      <c r="I10" s="2" t="s">
        <v>257</v>
      </c>
      <c r="J10" s="2"/>
    </row>
    <row r="11" spans="1:10" ht="43.2" x14ac:dyDescent="0.3">
      <c r="A11" s="2" t="str">
        <f>Assessment!A11</f>
        <v>Activos fijos / Gestión de activos</v>
      </c>
      <c r="B11" s="2" t="str">
        <f>Assessment!B11</f>
        <v>3.2 Inventario, localización y trazabilidad de activos</v>
      </c>
      <c r="C11" s="2" t="str">
        <f>Assessment!O11</f>
        <v/>
      </c>
      <c r="D11" s="2" t="str">
        <f>Assessment!P11</f>
        <v/>
      </c>
      <c r="E11" s="2" t="str">
        <f>Assessment!S11</f>
        <v>Crear modelo de inteligencia de activos con calidad de datos maestros, inventario, conciliación y trazabilidad del ciclo de vida.</v>
      </c>
      <c r="F11" s="2" t="str">
        <f>Assessment!I11</f>
        <v/>
      </c>
      <c r="G11" s="2" t="str">
        <f t="shared" si="0"/>
        <v>Oleada 3</v>
      </c>
      <c r="H11" s="2"/>
      <c r="I11" s="2" t="s">
        <v>257</v>
      </c>
      <c r="J11" s="2"/>
    </row>
    <row r="12" spans="1:10" ht="28.8" x14ac:dyDescent="0.3">
      <c r="A12" s="2" t="str">
        <f>Assessment!A12</f>
        <v>Activos fijos / Gestión de activos</v>
      </c>
      <c r="B12" s="2" t="str">
        <f>Assessment!B12</f>
        <v>3.3 Depreciación, impairments y valoración</v>
      </c>
      <c r="C12" s="2" t="str">
        <f>Assessment!O12</f>
        <v/>
      </c>
      <c r="D12" s="2" t="str">
        <f>Assessment!P12</f>
        <v/>
      </c>
      <c r="E12" s="2" t="str">
        <f>Assessment!S12</f>
        <v>Desarrollar modelo analítico para anticipar deterioros y revisar vida útil con datos financieros y operativos.</v>
      </c>
      <c r="F12" s="2" t="str">
        <f>Assessment!I12</f>
        <v/>
      </c>
      <c r="G12" s="2" t="str">
        <f t="shared" si="0"/>
        <v>Oleada 3</v>
      </c>
      <c r="H12" s="2"/>
      <c r="I12" s="2" t="s">
        <v>257</v>
      </c>
      <c r="J12" s="2"/>
    </row>
    <row r="13" spans="1:10" ht="28.8" x14ac:dyDescent="0.3">
      <c r="A13" s="2" t="str">
        <f>Assessment!A13</f>
        <v>Activos fijos / Gestión de activos</v>
      </c>
      <c r="B13" s="2" t="str">
        <f>Assessment!B13</f>
        <v>3.4 Bajas, desinversiones y control de CAPEX</v>
      </c>
      <c r="C13" s="2" t="str">
        <f>Assessment!O13</f>
        <v/>
      </c>
      <c r="D13" s="2" t="str">
        <f>Assessment!P13</f>
        <v/>
      </c>
      <c r="E13" s="2" t="str">
        <f>Assessment!S13</f>
        <v>Implantar control del CAPEX y del ciclo de vida de los activos con analítica de coste evitado, riesgo y priorización de inversión y desinversión.</v>
      </c>
      <c r="F13" s="2" t="str">
        <f>Assessment!I13</f>
        <v/>
      </c>
      <c r="G13" s="2" t="str">
        <f t="shared" si="0"/>
        <v>Oleada 3</v>
      </c>
      <c r="H13" s="2"/>
      <c r="I13" s="2" t="s">
        <v>257</v>
      </c>
      <c r="J13" s="2"/>
    </row>
    <row r="14" spans="1:10" ht="28.8" x14ac:dyDescent="0.3">
      <c r="A14" s="2" t="str">
        <f>Assessment!A14</f>
        <v>Informes operativos</v>
      </c>
      <c r="B14" s="2" t="str">
        <f>Assessment!B14</f>
        <v>4.1 Modelo de KPIs operativos financieros</v>
      </c>
      <c r="C14" s="2" t="str">
        <f>Assessment!O14</f>
        <v/>
      </c>
      <c r="D14" s="2" t="str">
        <f>Assessment!P14</f>
        <v/>
      </c>
      <c r="E14" s="2" t="str">
        <f>Assessment!S14</f>
        <v>Rediseñar los informes operativo-financieros con KPIs homogéneos, alertas y explicación automática de desviaciones.</v>
      </c>
      <c r="F14" s="2" t="str">
        <f>Assessment!I14</f>
        <v/>
      </c>
      <c r="G14" s="2" t="str">
        <f t="shared" si="0"/>
        <v>Oleada 3</v>
      </c>
      <c r="H14" s="2"/>
      <c r="I14" s="2" t="s">
        <v>257</v>
      </c>
      <c r="J14" s="2"/>
    </row>
    <row r="15" spans="1:10" ht="43.2" x14ac:dyDescent="0.3">
      <c r="A15" s="2" t="str">
        <f>Assessment!A15</f>
        <v>Informes operativos</v>
      </c>
      <c r="B15" s="2" t="str">
        <f>Assessment!B15</f>
        <v>4.2 Calidad, integración y gobierno de datos operativos</v>
      </c>
      <c r="C15" s="2" t="str">
        <f>Assessment!O15</f>
        <v/>
      </c>
      <c r="D15" s="2" t="str">
        <f>Assessment!P15</f>
        <v/>
      </c>
      <c r="E15" s="2" t="str">
        <f>Assessment!S15</f>
        <v>Implantar gobierno de datos operativos-financieros con controles de calidad, gestión de datos maestros y flujo de corrección.</v>
      </c>
      <c r="F15" s="2" t="str">
        <f>Assessment!I15</f>
        <v/>
      </c>
      <c r="G15" s="2" t="str">
        <f t="shared" si="0"/>
        <v>Oleada 3</v>
      </c>
      <c r="H15" s="2"/>
      <c r="I15" s="2" t="s">
        <v>257</v>
      </c>
      <c r="J15" s="2"/>
    </row>
    <row r="16" spans="1:10" ht="28.8" x14ac:dyDescent="0.3">
      <c r="A16" s="2" t="str">
        <f>Assessment!A16</f>
        <v>Informes operativos</v>
      </c>
      <c r="B16" s="2" t="str">
        <f>Assessment!B16</f>
        <v>4.3 Automatización del reporting operativo</v>
      </c>
      <c r="C16" s="2" t="str">
        <f>Assessment!O16</f>
        <v/>
      </c>
      <c r="D16" s="2" t="str">
        <f>Assessment!P16</f>
        <v/>
      </c>
      <c r="E16" s="2" t="str">
        <f>Assessment!S16</f>
        <v>Construir informes operativos en autoservicio con capa conversacional, extracción de datos y generación automática de conclusiones.</v>
      </c>
      <c r="F16" s="2" t="str">
        <f>Assessment!I16</f>
        <v/>
      </c>
      <c r="G16" s="2" t="str">
        <f t="shared" si="0"/>
        <v>Oleada 3</v>
      </c>
      <c r="H16" s="2"/>
      <c r="I16" s="2" t="s">
        <v>257</v>
      </c>
      <c r="J16" s="2"/>
    </row>
    <row r="17" spans="1:10" ht="28.8" x14ac:dyDescent="0.3">
      <c r="A17" s="2" t="str">
        <f>Assessment!A17</f>
        <v>Informes operativos</v>
      </c>
      <c r="B17" s="2" t="str">
        <f>Assessment!B17</f>
        <v>4.4 Rutinas de gestión, incidencias y mejora continua</v>
      </c>
      <c r="C17" s="2" t="str">
        <f>Assessment!O17</f>
        <v/>
      </c>
      <c r="D17" s="2" t="str">
        <f>Assessment!P17</f>
        <v/>
      </c>
      <c r="E17" s="2" t="str">
        <f>Assessment!S17</f>
        <v>Implantar workflow de gestión de incidencias con priorización AI, root cause y seguimiento de beneficios.</v>
      </c>
      <c r="F17" s="2" t="str">
        <f>Assessment!I17</f>
        <v/>
      </c>
      <c r="G17" s="2" t="str">
        <f t="shared" si="0"/>
        <v>Oleada 3</v>
      </c>
      <c r="H17" s="2"/>
      <c r="I17" s="2" t="s">
        <v>257</v>
      </c>
      <c r="J17" s="2"/>
    </row>
    <row r="18" spans="1:10" ht="28.8" x14ac:dyDescent="0.3">
      <c r="A18" s="2" t="str">
        <f>Assessment!A18</f>
        <v>Contabilidad de proyectos</v>
      </c>
      <c r="B18" s="2" t="str">
        <f>Assessment!B18</f>
        <v>5.1 Alta, estructura y codificación de proyectos</v>
      </c>
      <c r="C18" s="2" t="str">
        <f>Assessment!O18</f>
        <v/>
      </c>
      <c r="D18" s="2" t="str">
        <f>Assessment!P18</f>
        <v/>
      </c>
      <c r="E18" s="2" t="str">
        <f>Assessment!S18</f>
        <v>Crear flujo de alta de proyectos con estructura estándar, metadatos automáticos y conexión con contrato y presupuesto.</v>
      </c>
      <c r="F18" s="2" t="str">
        <f>Assessment!I18</f>
        <v/>
      </c>
      <c r="G18" s="2" t="str">
        <f t="shared" si="0"/>
        <v>Oleada 3</v>
      </c>
      <c r="H18" s="2"/>
      <c r="I18" s="2" t="s">
        <v>257</v>
      </c>
      <c r="J18" s="2"/>
    </row>
    <row r="19" spans="1:10" ht="43.2" x14ac:dyDescent="0.3">
      <c r="A19" s="2" t="str">
        <f>Assessment!A19</f>
        <v>Contabilidad de proyectos</v>
      </c>
      <c r="B19" s="2" t="str">
        <f>Assessment!B19</f>
        <v>5.2 Registro, imputación y control de costes</v>
      </c>
      <c r="C19" s="2" t="str">
        <f>Assessment!O19</f>
        <v/>
      </c>
      <c r="D19" s="2" t="str">
        <f>Assessment!P19</f>
        <v/>
      </c>
      <c r="E19" s="2" t="str">
        <f>Assessment!S19</f>
        <v>Desplegar modelo de control de costes de proyecto con detección de anomalías, clasificación y alertas tempranas.</v>
      </c>
      <c r="F19" s="2" t="str">
        <f>Assessment!I19</f>
        <v/>
      </c>
      <c r="G19" s="2" t="str">
        <f t="shared" si="0"/>
        <v>Oleada 3</v>
      </c>
      <c r="H19" s="2"/>
      <c r="I19" s="2" t="s">
        <v>257</v>
      </c>
      <c r="J19" s="2"/>
    </row>
    <row r="20" spans="1:10" ht="43.2" x14ac:dyDescent="0.3">
      <c r="A20" s="2" t="str">
        <f>Assessment!A20</f>
        <v>Contabilidad de proyectos</v>
      </c>
      <c r="B20" s="2" t="str">
        <f>Assessment!B20</f>
        <v>5.3 Facturación, ingresos y margen de proyectos</v>
      </c>
      <c r="C20" s="2" t="str">
        <f>Assessment!O20</f>
        <v/>
      </c>
      <c r="D20" s="2" t="str">
        <f>Assessment!P20</f>
        <v/>
      </c>
      <c r="E20" s="2" t="str">
        <f>Assessment!S20</f>
        <v>Crear control AI de contrato-hito-factura-ingreso-margen para proyectos, con alertas de leakage y desviaciones.</v>
      </c>
      <c r="F20" s="2" t="str">
        <f>Assessment!I20</f>
        <v/>
      </c>
      <c r="G20" s="2" t="str">
        <f t="shared" si="0"/>
        <v>Oleada 3</v>
      </c>
      <c r="H20" s="2"/>
      <c r="I20" s="2" t="s">
        <v>257</v>
      </c>
      <c r="J20" s="2"/>
    </row>
    <row r="21" spans="1:10" ht="43.2" x14ac:dyDescent="0.3">
      <c r="A21" s="2" t="str">
        <f>Assessment!A21</f>
        <v>Contabilidad de proyectos</v>
      </c>
      <c r="B21" s="2" t="str">
        <f>Assessment!B21</f>
        <v>5.4 Forecast, cierre y análisis del proyecto</v>
      </c>
      <c r="C21" s="2" t="str">
        <f>Assessment!O21</f>
        <v/>
      </c>
      <c r="D21" s="2" t="str">
        <f>Assessment!P21</f>
        <v/>
      </c>
      <c r="E21" s="2" t="str">
        <f>Assessment!S21</f>
        <v>Implantar previsión predictiva de proyectos con escenarios, alertas de margen y caja y recomendaciones de acción.</v>
      </c>
      <c r="F21" s="2" t="str">
        <f>Assessment!I21</f>
        <v/>
      </c>
      <c r="G21" s="2" t="str">
        <f t="shared" si="0"/>
        <v>Oleada 3</v>
      </c>
      <c r="H21" s="2"/>
      <c r="I21" s="2" t="s">
        <v>257</v>
      </c>
      <c r="J21" s="2"/>
    </row>
  </sheetData>
  <autoFilter ref="A1:J21" xr:uid="{00000000-0009-0000-0000-000003000000}"/>
  <dataValidations count="1">
    <dataValidation type="list" allowBlank="1" sqref="I2:I21" xr:uid="{00000000-0002-0000-0300-000000000000}">
      <formula1>"No iniciado,En curso,Completado,En riesgo"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2" width="48" customWidth="1"/>
    <col min="3" max="3" width="65" customWidth="1"/>
    <col min="4" max="4" width="95" customWidth="1"/>
    <col min="5" max="5" width="42" customWidth="1"/>
  </cols>
  <sheetData>
    <row r="1" spans="1:5" x14ac:dyDescent="0.3">
      <c r="A1" s="1" t="s">
        <v>0</v>
      </c>
      <c r="B1" s="1" t="s">
        <v>1</v>
      </c>
      <c r="C1" s="1" t="s">
        <v>8</v>
      </c>
      <c r="D1" s="1" t="s">
        <v>258</v>
      </c>
      <c r="E1" s="1" t="s">
        <v>259</v>
      </c>
    </row>
    <row r="2" spans="1:5" ht="28.8" x14ac:dyDescent="0.3">
      <c r="A2" s="2" t="s">
        <v>20</v>
      </c>
      <c r="B2" s="2" t="s">
        <v>21</v>
      </c>
      <c r="C2" s="2" t="s">
        <v>296</v>
      </c>
      <c r="D2" s="2" t="s">
        <v>27</v>
      </c>
      <c r="E2" s="2" t="s">
        <v>260</v>
      </c>
    </row>
    <row r="3" spans="1:5" ht="28.8" x14ac:dyDescent="0.3">
      <c r="A3" s="2" t="s">
        <v>20</v>
      </c>
      <c r="B3" s="2" t="s">
        <v>32</v>
      </c>
      <c r="C3" s="2" t="s">
        <v>297</v>
      </c>
      <c r="D3" s="2" t="s">
        <v>38</v>
      </c>
      <c r="E3" s="2" t="s">
        <v>260</v>
      </c>
    </row>
    <row r="4" spans="1:5" ht="28.8" x14ac:dyDescent="0.3">
      <c r="A4" s="2" t="s">
        <v>20</v>
      </c>
      <c r="B4" s="2" t="s">
        <v>43</v>
      </c>
      <c r="C4" s="2" t="s">
        <v>298</v>
      </c>
      <c r="D4" s="2" t="s">
        <v>49</v>
      </c>
      <c r="E4" s="2" t="s">
        <v>260</v>
      </c>
    </row>
    <row r="5" spans="1:5" ht="43.2" x14ac:dyDescent="0.3">
      <c r="A5" s="2" t="s">
        <v>20</v>
      </c>
      <c r="B5" s="2" t="s">
        <v>54</v>
      </c>
      <c r="C5" s="2" t="s">
        <v>299</v>
      </c>
      <c r="D5" s="2" t="s">
        <v>60</v>
      </c>
      <c r="E5" s="2" t="s">
        <v>260</v>
      </c>
    </row>
    <row r="6" spans="1:5" ht="43.2" x14ac:dyDescent="0.3">
      <c r="A6" s="2" t="s">
        <v>65</v>
      </c>
      <c r="B6" s="2" t="s">
        <v>66</v>
      </c>
      <c r="C6" s="2" t="s">
        <v>300</v>
      </c>
      <c r="D6" s="2" t="s">
        <v>72</v>
      </c>
      <c r="E6" s="2" t="s">
        <v>260</v>
      </c>
    </row>
    <row r="7" spans="1:5" ht="28.8" x14ac:dyDescent="0.3">
      <c r="A7" s="2" t="s">
        <v>65</v>
      </c>
      <c r="B7" s="2" t="s">
        <v>77</v>
      </c>
      <c r="C7" s="2" t="s">
        <v>301</v>
      </c>
      <c r="D7" s="2" t="s">
        <v>83</v>
      </c>
      <c r="E7" s="2" t="s">
        <v>260</v>
      </c>
    </row>
    <row r="8" spans="1:5" ht="43.2" x14ac:dyDescent="0.3">
      <c r="A8" s="2" t="s">
        <v>65</v>
      </c>
      <c r="B8" s="2" t="s">
        <v>88</v>
      </c>
      <c r="C8" s="2" t="s">
        <v>302</v>
      </c>
      <c r="D8" s="2" t="s">
        <v>94</v>
      </c>
      <c r="E8" s="2" t="s">
        <v>260</v>
      </c>
    </row>
    <row r="9" spans="1:5" ht="28.8" x14ac:dyDescent="0.3">
      <c r="A9" s="2" t="s">
        <v>65</v>
      </c>
      <c r="B9" s="2" t="s">
        <v>99</v>
      </c>
      <c r="C9" s="2" t="s">
        <v>303</v>
      </c>
      <c r="D9" s="2" t="s">
        <v>105</v>
      </c>
      <c r="E9" s="2" t="s">
        <v>260</v>
      </c>
    </row>
    <row r="10" spans="1:5" ht="28.8" x14ac:dyDescent="0.3">
      <c r="A10" s="2" t="s">
        <v>110</v>
      </c>
      <c r="B10" s="2" t="s">
        <v>111</v>
      </c>
      <c r="C10" s="2" t="s">
        <v>304</v>
      </c>
      <c r="D10" s="2" t="s">
        <v>117</v>
      </c>
      <c r="E10" s="2" t="s">
        <v>260</v>
      </c>
    </row>
    <row r="11" spans="1:5" ht="28.8" x14ac:dyDescent="0.3">
      <c r="A11" s="2" t="s">
        <v>110</v>
      </c>
      <c r="B11" s="2" t="s">
        <v>122</v>
      </c>
      <c r="C11" s="2" t="s">
        <v>305</v>
      </c>
      <c r="D11" s="2" t="s">
        <v>128</v>
      </c>
      <c r="E11" s="2" t="s">
        <v>260</v>
      </c>
    </row>
    <row r="12" spans="1:5" ht="28.8" x14ac:dyDescent="0.3">
      <c r="A12" s="2" t="s">
        <v>110</v>
      </c>
      <c r="B12" s="2" t="s">
        <v>133</v>
      </c>
      <c r="C12" s="2" t="s">
        <v>306</v>
      </c>
      <c r="D12" s="2" t="s">
        <v>139</v>
      </c>
      <c r="E12" s="2" t="s">
        <v>260</v>
      </c>
    </row>
    <row r="13" spans="1:5" ht="28.8" x14ac:dyDescent="0.3">
      <c r="A13" s="2" t="s">
        <v>110</v>
      </c>
      <c r="B13" s="2" t="s">
        <v>144</v>
      </c>
      <c r="C13" s="2" t="s">
        <v>307</v>
      </c>
      <c r="D13" s="2" t="s">
        <v>150</v>
      </c>
      <c r="E13" s="2" t="s">
        <v>260</v>
      </c>
    </row>
    <row r="14" spans="1:5" ht="28.8" x14ac:dyDescent="0.3">
      <c r="A14" s="2" t="s">
        <v>155</v>
      </c>
      <c r="B14" s="2" t="s">
        <v>156</v>
      </c>
      <c r="C14" s="2" t="s">
        <v>308</v>
      </c>
      <c r="D14" s="2" t="s">
        <v>162</v>
      </c>
      <c r="E14" s="2" t="s">
        <v>260</v>
      </c>
    </row>
    <row r="15" spans="1:5" ht="43.2" x14ac:dyDescent="0.3">
      <c r="A15" s="2" t="s">
        <v>155</v>
      </c>
      <c r="B15" s="2" t="s">
        <v>167</v>
      </c>
      <c r="C15" s="2" t="s">
        <v>309</v>
      </c>
      <c r="D15" s="2" t="s">
        <v>173</v>
      </c>
      <c r="E15" s="2" t="s">
        <v>260</v>
      </c>
    </row>
    <row r="16" spans="1:5" ht="28.8" x14ac:dyDescent="0.3">
      <c r="A16" s="2" t="s">
        <v>155</v>
      </c>
      <c r="B16" s="2" t="s">
        <v>178</v>
      </c>
      <c r="C16" s="2" t="s">
        <v>310</v>
      </c>
      <c r="D16" s="2" t="s">
        <v>184</v>
      </c>
      <c r="E16" s="2" t="s">
        <v>260</v>
      </c>
    </row>
    <row r="17" spans="1:5" ht="28.8" x14ac:dyDescent="0.3">
      <c r="A17" s="2" t="s">
        <v>155</v>
      </c>
      <c r="B17" s="2" t="s">
        <v>189</v>
      </c>
      <c r="C17" s="2" t="s">
        <v>311</v>
      </c>
      <c r="D17" s="2" t="s">
        <v>195</v>
      </c>
      <c r="E17" s="2" t="s">
        <v>260</v>
      </c>
    </row>
    <row r="18" spans="1:5" ht="28.8" x14ac:dyDescent="0.3">
      <c r="A18" s="2" t="s">
        <v>200</v>
      </c>
      <c r="B18" s="2" t="s">
        <v>201</v>
      </c>
      <c r="C18" s="2" t="s">
        <v>312</v>
      </c>
      <c r="D18" s="2" t="s">
        <v>207</v>
      </c>
      <c r="E18" s="2" t="s">
        <v>260</v>
      </c>
    </row>
    <row r="19" spans="1:5" ht="43.2" x14ac:dyDescent="0.3">
      <c r="A19" s="2" t="s">
        <v>200</v>
      </c>
      <c r="B19" s="2" t="s">
        <v>212</v>
      </c>
      <c r="C19" s="2" t="s">
        <v>313</v>
      </c>
      <c r="D19" s="2" t="s">
        <v>218</v>
      </c>
      <c r="E19" s="2" t="s">
        <v>260</v>
      </c>
    </row>
    <row r="20" spans="1:5" ht="43.2" x14ac:dyDescent="0.3">
      <c r="A20" s="2" t="s">
        <v>200</v>
      </c>
      <c r="B20" s="2" t="s">
        <v>223</v>
      </c>
      <c r="C20" s="2" t="s">
        <v>314</v>
      </c>
      <c r="D20" s="2" t="s">
        <v>229</v>
      </c>
      <c r="E20" s="2" t="s">
        <v>260</v>
      </c>
    </row>
    <row r="21" spans="1:5" ht="43.2" x14ac:dyDescent="0.3">
      <c r="A21" s="2" t="s">
        <v>200</v>
      </c>
      <c r="B21" s="2" t="s">
        <v>234</v>
      </c>
      <c r="C21" s="2" t="s">
        <v>315</v>
      </c>
      <c r="D21" s="2" t="s">
        <v>240</v>
      </c>
      <c r="E21" s="2" t="s">
        <v>260</v>
      </c>
    </row>
  </sheetData>
  <autoFilter ref="A1:E2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8"/>
  <sheetViews>
    <sheetView workbookViewId="0"/>
  </sheetViews>
  <sheetFormatPr defaultRowHeight="14.4" x14ac:dyDescent="0.3"/>
  <cols>
    <col min="1" max="1" width="120" customWidth="1"/>
  </cols>
  <sheetData>
    <row r="1" spans="1:1" x14ac:dyDescent="0.3">
      <c r="A1" s="4" t="s">
        <v>261</v>
      </c>
    </row>
    <row r="3" spans="1:1" x14ac:dyDescent="0.3">
      <c r="A3" s="4" t="s">
        <v>262</v>
      </c>
    </row>
    <row r="4" spans="1:1" x14ac:dyDescent="0.3">
      <c r="A4" t="s">
        <v>263</v>
      </c>
    </row>
    <row r="5" spans="1:1" x14ac:dyDescent="0.3">
      <c r="A5" t="s">
        <v>264</v>
      </c>
    </row>
    <row r="6" spans="1:1" x14ac:dyDescent="0.3">
      <c r="A6" t="s">
        <v>265</v>
      </c>
    </row>
    <row r="7" spans="1:1" x14ac:dyDescent="0.3">
      <c r="A7" t="s">
        <v>266</v>
      </c>
    </row>
    <row r="8" spans="1:1" x14ac:dyDescent="0.3">
      <c r="A8" t="s">
        <v>267</v>
      </c>
    </row>
    <row r="10" spans="1:1" x14ac:dyDescent="0.3">
      <c r="A10" s="4" t="s">
        <v>268</v>
      </c>
    </row>
    <row r="11" spans="1:1" x14ac:dyDescent="0.3">
      <c r="A11" t="s">
        <v>269</v>
      </c>
    </row>
    <row r="12" spans="1:1" x14ac:dyDescent="0.3">
      <c r="A12" t="s">
        <v>270</v>
      </c>
    </row>
    <row r="13" spans="1:1" x14ac:dyDescent="0.3">
      <c r="A13" t="s">
        <v>271</v>
      </c>
    </row>
    <row r="14" spans="1:1" x14ac:dyDescent="0.3">
      <c r="A14" t="s">
        <v>272</v>
      </c>
    </row>
    <row r="15" spans="1:1" x14ac:dyDescent="0.3">
      <c r="A15" t="s">
        <v>273</v>
      </c>
    </row>
    <row r="17" spans="1:1" x14ac:dyDescent="0.3">
      <c r="A17" s="4" t="s">
        <v>274</v>
      </c>
    </row>
    <row r="18" spans="1:1" x14ac:dyDescent="0.3">
      <c r="A18" t="s">
        <v>275</v>
      </c>
    </row>
    <row r="19" spans="1:1" x14ac:dyDescent="0.3">
      <c r="A19" t="s">
        <v>276</v>
      </c>
    </row>
    <row r="20" spans="1:1" x14ac:dyDescent="0.3">
      <c r="A20" t="s">
        <v>277</v>
      </c>
    </row>
    <row r="21" spans="1:1" x14ac:dyDescent="0.3">
      <c r="A21" t="s">
        <v>278</v>
      </c>
    </row>
    <row r="22" spans="1:1" x14ac:dyDescent="0.3">
      <c r="A22" t="s">
        <v>279</v>
      </c>
    </row>
    <row r="24" spans="1:1" x14ac:dyDescent="0.3">
      <c r="A24" s="4" t="s">
        <v>280</v>
      </c>
    </row>
    <row r="25" spans="1:1" x14ac:dyDescent="0.3">
      <c r="A25" t="s">
        <v>281</v>
      </c>
    </row>
    <row r="26" spans="1:1" x14ac:dyDescent="0.3">
      <c r="A26" t="s">
        <v>282</v>
      </c>
    </row>
    <row r="27" spans="1:1" x14ac:dyDescent="0.3">
      <c r="A27" t="s">
        <v>283</v>
      </c>
    </row>
    <row r="28" spans="1:1" x14ac:dyDescent="0.3">
      <c r="A28" t="s">
        <v>284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"/>
  <sheetViews>
    <sheetView workbookViewId="0"/>
  </sheetViews>
  <sheetFormatPr defaultRowHeight="14.4" x14ac:dyDescent="0.3"/>
  <cols>
    <col min="1" max="1" width="28" customWidth="1"/>
    <col min="2" max="2" width="120" customWidth="1"/>
  </cols>
  <sheetData>
    <row r="1" spans="1:2" x14ac:dyDescent="0.3">
      <c r="A1" s="4" t="s">
        <v>285</v>
      </c>
      <c r="B1" s="4"/>
    </row>
    <row r="2" spans="1:2" x14ac:dyDescent="0.3">
      <c r="A2" t="s">
        <v>286</v>
      </c>
      <c r="B2" t="s">
        <v>287</v>
      </c>
    </row>
    <row r="3" spans="1:2" x14ac:dyDescent="0.3">
      <c r="A3" t="s">
        <v>288</v>
      </c>
      <c r="B3" t="s">
        <v>289</v>
      </c>
    </row>
    <row r="4" spans="1:2" x14ac:dyDescent="0.3">
      <c r="A4" t="s">
        <v>290</v>
      </c>
      <c r="B4" t="s">
        <v>291</v>
      </c>
    </row>
    <row r="5" spans="1:2" x14ac:dyDescent="0.3">
      <c r="A5" t="s">
        <v>292</v>
      </c>
      <c r="B5" t="s">
        <v>293</v>
      </c>
    </row>
    <row r="6" spans="1:2" x14ac:dyDescent="0.3">
      <c r="A6" t="s">
        <v>294</v>
      </c>
      <c r="B6" t="s">
        <v>295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16FA29F310CEA4A92E7055778740EF9" ma:contentTypeVersion="3" ma:contentTypeDescription="Crear nuevo documento." ma:contentTypeScope="" ma:versionID="6434e39657608d9e2815aff4bbdc6824">
  <xsd:schema xmlns:xsd="http://www.w3.org/2001/XMLSchema" xmlns:xs="http://www.w3.org/2001/XMLSchema" xmlns:p="http://schemas.microsoft.com/office/2006/metadata/properties" xmlns:ns2="da3482d0-81c1-4135-8399-90eebe419dbb" targetNamespace="http://schemas.microsoft.com/office/2006/metadata/properties" ma:root="true" ma:fieldsID="d96165a36436cef3f51f92079d6e8c94" ns2:_="">
    <xsd:import namespace="da3482d0-81c1-4135-8399-90eebe419d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3482d0-81c1-4135-8399-90eebe419d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2004A10-7187-42D4-87CF-96974FE0ED50}"/>
</file>

<file path=customXml/itemProps2.xml><?xml version="1.0" encoding="utf-8"?>
<ds:datastoreItem xmlns:ds="http://schemas.openxmlformats.org/officeDocument/2006/customXml" ds:itemID="{12E0C955-848A-40C1-9A69-FACED3DC84DD}"/>
</file>

<file path=customXml/itemProps3.xml><?xml version="1.0" encoding="utf-8"?>
<ds:datastoreItem xmlns:ds="http://schemas.openxmlformats.org/officeDocument/2006/customXml" ds:itemID="{C9F24BE1-321D-4BFB-A197-32B49C5EC314}"/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Assessment</vt:lpstr>
      <vt:lpstr>Resumen</vt:lpstr>
      <vt:lpstr>Heatmap</vt:lpstr>
      <vt:lpstr>Roadmap</vt:lpstr>
      <vt:lpstr>AI Overlay</vt:lpstr>
      <vt:lpstr>Guias scoring</vt:lpstr>
      <vt:lpstr>Instrucciones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2026-06-30T15:38:29Z</dcterms:created>
  <dcterms:modified xsi:type="dcterms:W3CDTF">2026-06-30T17:29:36Z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0x010100216FA29F310CEA4A92E7055778740EF9</vt:lpwstr>
  </property>
</Properties>
</file>