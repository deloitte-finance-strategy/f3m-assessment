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ransaccional/"/>
    </mc:Choice>
  </mc:AlternateContent>
  <xr:revisionPtr revIDLastSave="0" documentId="8_{7AE8C56F-5DFE-457C-9C0F-1BFC2D4308B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Heatmap!$A$1:$I$21</definedName>
    <definedName name="_xlnm._FilterDatabase" localSheetId="1" hidden="1">Resumen!$A$1:$G$8</definedName>
    <definedName name="_xlnm._FilterDatabase" localSheetId="3" hidden="1">Roadmap!$A$1:$J$21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4" l="1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C21" i="4" l="1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8" i="2"/>
  <c r="G8" i="2" s="1"/>
  <c r="G2" i="2"/>
  <c r="F2" i="2"/>
  <c r="F8" i="2" s="1"/>
</calcChain>
</file>

<file path=xl/sharedStrings.xml><?xml version="1.0" encoding="utf-8"?>
<sst xmlns="http://schemas.openxmlformats.org/spreadsheetml/2006/main" count="452" uniqueCount="296">
  <si>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</si>
  <si>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</si>
  <si>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</si>
  <si>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</si>
  <si>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</si>
  <si>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</si>
  <si>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</si>
  <si>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</si>
  <si>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</si>
  <si>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</si>
  <si>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</si>
  <si>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</si>
  <si>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</si>
  <si>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</si>
  <si>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</si>
  <si>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</si>
  <si>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</si>
  <si>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</si>
  <si>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</si>
  <si>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</si>
  <si>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Source-to-Pay</t>
  </si>
  <si>
    <t>1.1 Estrategia de compras, categorías y demanda</t>
  </si>
  <si>
    <t>Evaluar si la organización planifica la demanda de compras, gestiona categorías y conecta sourcing con necesidades del negocio.</t>
  </si>
  <si>
    <t>Compras reactivas, sin visión de demanda ni planificación por categoría.</t>
  </si>
  <si>
    <t>Categorías básicas y demanda estimada de forma parcial, con alta dependencia de peticiones ad hoc.</t>
  </si>
  <si>
    <t>Modelo de categorías y planificación de demanda definido, con criterios de priorización y responsables.</t>
  </si>
  <si>
    <t>Planificación integrada con negocio, contratos y presupuestos, con análisis de gasto y demanda recurrente.</t>
  </si>
  <si>
    <t>Planificación predictiva de gasto y demanda de terceros basada en contratos, históricos y señales externas, con recomendaciones de sourcing y timing.</t>
  </si>
  <si>
    <t>Using data from contract management system, forecast monthly expense for all third-party contracts; Resilient logistics and planning</t>
  </si>
  <si>
    <t>¿Existe planificación de demanda de compras?
¿Se trabaja por categorías?
¿Se conecta con presupuesto/forecast?
¿Se anticipan necesidades recurrentes?</t>
  </si>
  <si>
    <t>Plan de compras; category plans; forecast de gasto; contratos; presupuestos; análisis spend.</t>
  </si>
  <si>
    <t>Implantar planificación de demanda de compras por categoría con forecast de gasto contractual y conexión con presupuesto.</t>
  </si>
  <si>
    <t>1.2 Selección, evaluación y gestión de proveedores</t>
  </si>
  <si>
    <t>Evaluar madurez del ciclo de evaluación, homologación, performance y riesgo de proveedores.</t>
  </si>
  <si>
    <t>Selección manual y reactiva de proveedores, sin criterios homogéneos ni evaluación recurrente.</t>
  </si>
  <si>
    <t>Homologación básica, con criterios documentados parcialmente y seguimiento limitado.</t>
  </si>
  <si>
    <t>Proceso estándar de evaluación, homologación y seguimiento de performance/proveedor.</t>
  </si>
  <si>
    <t>Gestión integrada de desempeño, riesgos, cumplimiento y oportunidades de mejora por proveedor.</t>
  </si>
  <si>
    <t>Motor AI de evaluación de proveedores, riesgo supply chain y recomendaciones de selección/negociación basadas en desempeño, riesgo y contexto externo.</t>
  </si>
  <si>
    <t>Resilient logistics and planning; Supplier assessment AI; Drafting contracts and SoWs</t>
  </si>
  <si>
    <t>¿Hay criterios de homologación?
¿Se mide performance?
¿Se evalúa riesgo proveedor?
¿Se usan datos externos?</t>
  </si>
  <si>
    <t>Scorecards proveedor; homologaciones; SLAs; incidencias; evaluación de riesgo; contratos.</t>
  </si>
  <si>
    <t>Crear modelo de supplier intelligence con indicadores de desempeño, riesgo, compliance y recomendaciones de sourcing.</t>
  </si>
  <si>
    <t>1.3 Gestión contractual, RFPs y SoWs</t>
  </si>
  <si>
    <t>Evaluar si la función gestiona contratos, RFPs y SoWs de forma estructurada, trazable y eficiente.</t>
  </si>
  <si>
    <t>Contratos y RFPs manuales, dispersos y poco trazables.</t>
  </si>
  <si>
    <t>Plantillas básicas y repositorio parcial, con revisión manual intensiva.</t>
  </si>
  <si>
    <t>Proceso estándar para RFPs, contratos y SoWs, con plantillas, aprobaciones y repositorio central.</t>
  </si>
  <si>
    <t>Gestión contractual integrada con compras, legal, presupuesto y proveedores, con alertas y trazabilidad de cambios.</t>
  </si>
  <si>
    <t>Asistente AI para generar RFPs, contratos y SoWs, extraer cláusulas, analizar riesgos y recomendar condiciones financieras/comerciales.</t>
  </si>
  <si>
    <t>Drafting contracts and SoWs; AI-powered RFP and knowledge assistant; Using data from contract management system forecast monthly expense</t>
  </si>
  <si>
    <t>¿Existe repositorio contractual?
¿Hay plantillas estándar?
¿Se analizan cláusulas financieras?
¿Se monitorizan vencimientos y obligaciones?</t>
  </si>
  <si>
    <t>Contratos; RFPs; SoWs; repositorio; workflow de aprobación; matriz de cláusulas; contratos vencidos.</t>
  </si>
  <si>
    <t>Implantar asistente contractual AI para generación, revisión y explotación financiera de contratos y SoWs.</t>
  </si>
  <si>
    <t>1.4 Orden de compra, recepción y aprobación</t>
  </si>
  <si>
    <t>Evaluar el grado de control, automatización y cumplimiento del proceso desde solicitud hasta recepción/aprobación.</t>
  </si>
  <si>
    <t>Solicitudes, órdenes y aprobaciones manuales, con baja trazabilidad y controles débiles.</t>
  </si>
  <si>
    <t>Workflow parcial, autorizaciones básicas y controles manuales de recepción/factura.</t>
  </si>
  <si>
    <t>Proceso estándar de PR/PO, recepción y aprobaciones, con reglas y responsabilidades claras.</t>
  </si>
  <si>
    <t>Workflow integrado con catálogo, recepción, presupuesto, contrato y controles automáticos.</t>
  </si>
  <si>
    <t>AI recomienda timing óptimo de pagos/compras, detecta excepciones operativas y prioriza aprobaciones según impacto en caja, contrato y riesgo.</t>
  </si>
  <si>
    <t>Recommend most optimal payment timing; Proactive defect resolution recommendations; Guided adaptable workflows for master data record changes</t>
  </si>
  <si>
    <t>¿Qué % de compras tiene PO?
¿Se controlan recepciones?
¿Hay aprobaciones por umbrales?
¿Se detectan excepciones?</t>
  </si>
  <si>
    <t>PR/PO; workflow; recepción; aprobaciones; excepciones; controles presupuestarios.</t>
  </si>
  <si>
    <t>Digitalizar workflow PR/PO/recepción con controles automáticos, excepciones y recomendaciones de aprobación/pago.</t>
  </si>
  <si>
    <t>Order-to-Cash</t>
  </si>
  <si>
    <t>2.1 Gestión de pedidos, contratos y condiciones comerciales</t>
  </si>
  <si>
    <t>Evaluar si pedidos y condiciones comerciales se gestionan con control, trazabilidad y consistencia.</t>
  </si>
  <si>
    <t>Pedidos y condiciones gestionados manualmente, con dispersión de criterios y errores frecuentes.</t>
  </si>
  <si>
    <t>Proceso básico definido, aunque con validaciones manuales y excepciones recurrentes.</t>
  </si>
  <si>
    <t>Modelo estándar de entrada de pedidos, validación comercial y control de condiciones.</t>
  </si>
  <si>
    <t>Pedidos integrados con contratos, pricing, crédito, facturación y controles automáticos.</t>
  </si>
  <si>
    <t>Asistente AI analiza contratos/pedidos, valida obligaciones y condiciones comerciales, y recomienda acciones para evitar errores, revenue leakage o disputas.</t>
  </si>
  <si>
    <t>Read customer contracts and identify performance obligations; Identify &amp; proactively correct revenue leakage; AI assistant for vehicle buying and leasing</t>
  </si>
  <si>
    <t>¿Qué validaciones existen sobre pedidos?
¿Se conectan contratos y pricing?
¿Se detectan condiciones atípicas?
¿Se controla leakage?</t>
  </si>
  <si>
    <t>Pedidos; contratos; pricing; aprobaciones; incidencias; ajustes comerciales; revenue leakage.</t>
  </si>
  <si>
    <t>Crear controles automáticos de pedido/contrato/precio con detección de condiciones atípicas y revenue leakage.</t>
  </si>
  <si>
    <t>2.2 Facturación y emisión de documentos</t>
  </si>
  <si>
    <t>Evaluar automatización, exactitud, trazabilidad y control del proceso de facturación.</t>
  </si>
  <si>
    <t>Facturación manual, con errores frecuentes y correcciones reactivas.</t>
  </si>
  <si>
    <t>Plantillas y controles básicos, con validación manual relevante.</t>
  </si>
  <si>
    <t>Proceso de facturación estándar, con reglas documentadas y controles recurrentes.</t>
  </si>
  <si>
    <t>Facturación integrada con pedidos, contratos, impuestos, entregas y controles automáticos de error.</t>
  </si>
  <si>
    <t>Detección/corrección AI de errores de factura y generación de facturas personalizadas para pedidos no estándar, con validación fiscal/contable.</t>
  </si>
  <si>
    <t>Automated invoice error detection &amp; correction; Generate customized invoices for nonstandard customer orders</t>
  </si>
  <si>
    <t>¿Qué errores de factura son recurrentes?
¿La factura sale del pedido/contrato?
¿Hay validación fiscal?
¿Se mide first-time-right?</t>
  </si>
  <si>
    <t>Facturas; notas de crédito; errores; controles; logs de emisión; KPI first-time-right.</t>
  </si>
  <si>
    <t>Implantar motor AI de validación y corrección preventiva de facturas antes de emisión.</t>
  </si>
  <si>
    <t>2.3 Cobros, aplicación de pagos y gestión de disputas</t>
  </si>
  <si>
    <t>Evaluar si los cobros, cash application y disputas se gestionan de forma eficiente y orientada a caja.</t>
  </si>
  <si>
    <t>Conciliación de cobros manual, disputas reactivas y baja visibilidad de aging.</t>
  </si>
  <si>
    <t>Proceso básico de cobros con seguimientos manuales y criterios variables.</t>
  </si>
  <si>
    <t>Modelo estándar de cash application, aging, dunning y gestión de disputas.</t>
  </si>
  <si>
    <t>Cash application automatizada, segmentación de cartera, workflow de disputas y control de aging/DSO.</t>
  </si>
  <si>
    <t>Asistente AI identifica gaps de cobro, automatiza outreach, recomienda payment terms para mejorar DSO y apoya recuperación de ingresos/disputas.</t>
  </si>
  <si>
    <t>Facilitate payment collection to identify collections gaps and automate outreach; Recommend optimal payment terms to improve DSO; Denial appeal letters</t>
  </si>
  <si>
    <t>¿Cómo se aplican cobros?
¿Se monitoriza DSO?
¿Hay workflow de disputas?
¿Se segmenta la cartera?</t>
  </si>
  <si>
    <t>Aging; DSO; cash application; disputas; recordatorios; comunicaciones; write-offs.</t>
  </si>
  <si>
    <t>Desplegar asistente de cobranzas/intelligent collections con priorización, outreach automatizado y recomendaciones de términos.</t>
  </si>
  <si>
    <t>2.4 Crédito, riesgo cliente y control de exposición</t>
  </si>
  <si>
    <t>Evaluar el control de crédito, límites, exposición y riesgo asociado a clientes.</t>
  </si>
  <si>
    <t>Límites de crédito informales o manuales, con revisiones esporádicas.</t>
  </si>
  <si>
    <t>Políticas básicas de crédito y revisión manual de excepciones.</t>
  </si>
  <si>
    <t>Modelo de crédito definido, con límites, aprobaciones y seguimiento periódico.</t>
  </si>
  <si>
    <t>Riesgo cliente integrado con pedidos, cobros, aging, límites y alertas de exposición.</t>
  </si>
  <si>
    <t>Scoring dinámico AI de cliente y riesgo de cobro, con alertas tempranas, recomendaciones de bloqueo/liberación y condiciones comerciales.</t>
  </si>
  <si>
    <t>AI agents for credit underwriting; Predicts late payments or defaults; Recommend optimal payment terms to improve DSO</t>
  </si>
  <si>
    <t>¿Existen límites de crédito?
¿Se actualizan dinámicamente?
¿Se controla exposición?
¿Se anticipan impagos?</t>
  </si>
  <si>
    <t>Política de crédito; límites; aging; históricos de impago; aprobaciones; alertas de riesgo.</t>
  </si>
  <si>
    <t>Construir modelo predictivo de riesgo cliente con recomendaciones de límite, términos y acciones preventivas.</t>
  </si>
  <si>
    <t>Activos fijos / Gestión de activos</t>
  </si>
  <si>
    <t>3.1 Alta, capitalización y clasificación de activos</t>
  </si>
  <si>
    <t>Evaluar el gobierno del alta, clasificación, capitalización y registro de activos fijos.</t>
  </si>
  <si>
    <t>Altas manuales, criterios variables y documentación incompleta.</t>
  </si>
  <si>
    <t>Proceso básico de alta y capitalización, con revisiones manuales puntuales.</t>
  </si>
  <si>
    <t>Políticas de capitalización y clasificación documentadas y aplicadas de forma consistente.</t>
  </si>
  <si>
    <t>Proceso integrado con compras, proyectos, contabilidad y control presupuestario.</t>
  </si>
  <si>
    <t>AI ayuda a clasificar gastos vs activos, detectar errores de codificación y generar metadata/documentación de activos.</t>
  </si>
  <si>
    <t>Identify expense classification errors; Generate metadata documentation; Guided adaptable workflows for master data record changes</t>
  </si>
  <si>
    <t>¿Están claras las políticas CAPEX/OPEX?
¿Se registran altas con soporte completo?
¿Hay errores de clasificación?</t>
  </si>
  <si>
    <t>Política CAPEX; altas de activos; facturas; órdenes de compra; controles; maestro de activos.</t>
  </si>
  <si>
    <t>Implantar clasificación asistida CAPEX/OPEX y workflow de alta de activos con controles de soporte documental.</t>
  </si>
  <si>
    <t>3.2 Inventario, localización y trazabilidad de activos</t>
  </si>
  <si>
    <t>Evaluar la exactitud del inventario físico/contable, localización y trazabilidad del ciclo de vida de activos.</t>
  </si>
  <si>
    <t>Inventario no actualizado, conciliaciones manuales y baja trazabilidad física/contable.</t>
  </si>
  <si>
    <t>Inventarios periódicos y conciliaciones básicas, con incidencias recurrentes.</t>
  </si>
  <si>
    <t>Inventario contable y físico conciliado de forma recurrente, con owners y evidencias.</t>
  </si>
  <si>
    <t>Trazabilidad integrada de altas, bajas, traslados, mantenimiento, ubicación y estado de activos.</t>
  </si>
  <si>
    <t>AI/digital sensing permite detectar inconsistencias, anomalías de activos y generar alertas sobre activos críticos o no conciliados.</t>
  </si>
  <si>
    <t>Identify inconsistencies in master data records; AI-powered archive access and extraction; Autonomous drone-based infrastructure inspection</t>
  </si>
  <si>
    <t>¿Existe inventario actualizado?
¿Se concilia físico-contable?
¿Hay trazabilidad de movimientos?
¿Se conocen activos críticos?</t>
  </si>
  <si>
    <t>Maestro de activos; inventario físico; conciliaciones; incidencias; ubicación; bajas/traslados.</t>
  </si>
  <si>
    <t>Crear modelo de asset intelligence con calidad de master data, inventario, conciliación y trazabilidad de ciclo de vida.</t>
  </si>
  <si>
    <t>3.3 Depreciación, impairments y valoración</t>
  </si>
  <si>
    <t>Evaluar el control financiero de depreciaciones, vidas útiles, deterioros y valoración de activos.</t>
  </si>
  <si>
    <t>Cálculos manuales o básicos, con revisiones limitadas de vidas útiles/deterioros.</t>
  </si>
  <si>
    <t>Reglas de depreciación configuradas parcialmente y análisis de impairment ad hoc.</t>
  </si>
  <si>
    <t>Políticas y reglas de depreciación/impairment documentadas y aplicadas recurrentemente.</t>
  </si>
  <si>
    <t>Modelo integrado con reporting, planificación de activos, KPIs operativos y revisiones estructuradas.</t>
  </si>
  <si>
    <t>Modelos AI detectan patrones de deterioro, anomalías de uso/coste y recomiendan revisión de vida útil, impairment o mantenimiento.</t>
  </si>
  <si>
    <t>AI-driven predictive maintenance; Identify past data patterns to predict and improve future financial performance</t>
  </si>
  <si>
    <t>¿Se revisan vidas útiles?
¿Hay indicadores de deterioro?
¿Se conectan datos operativos con contabilidad?</t>
  </si>
  <si>
    <t>Cálculos depreciación; políticas contables; pruebas impairment; KPIs uso/mantenimiento; actas de revisión.</t>
  </si>
  <si>
    <t>Desarrollar modelo analítico para anticipar deterioros y revisar vida útil con datos financieros y operativos.</t>
  </si>
  <si>
    <t>3.4 Bajas, desinversiones y control de CAPEX</t>
  </si>
  <si>
    <t>Evaluar el control de bajas, disposiciones, desinversiones y seguimiento del CAPEX asociado a activos.</t>
  </si>
  <si>
    <t>Bajas y disposiciones manuales, con bajo control de autorizaciones y resultados.</t>
  </si>
  <si>
    <t>Proceso básico de bajas y seguimiento CAPEX con revisiones manuales.</t>
  </si>
  <si>
    <t>Workflow estándar de baja/disposición y reporting de CAPEX con responsables definidos.</t>
  </si>
  <si>
    <t>Control integrado de CAPEX, activos, proyectos, aprobaciones, beneficios y desviaciones.</t>
  </si>
  <si>
    <t>AI prioriza decisiones de inversión/desinversión mediante business case, coste evitado, riesgo de activo y escenarios de rendimiento.</t>
  </si>
  <si>
    <t>Project-level recommendations; AI-driven predictive maintenance; Autonomous drone-based infrastructure inspection</t>
  </si>
  <si>
    <t>¿Cómo se aprueban bajas?
¿Se mide ganancia/pérdida?
¿Se controla CAPEX?
¿Se vincula con business case?</t>
  </si>
  <si>
    <t>Bajas; autorizaciones; CAPEX; business cases; desviaciones; resultados de disposición.</t>
  </si>
  <si>
    <t>Implantar control de CAPEX/asset lifecycle con analítica de coste evitado, riesgo y priorización de inversión/desinversión.</t>
  </si>
  <si>
    <t>Informes operativos</t>
  </si>
  <si>
    <t>4.1 Modelo de KPIs operativos financieros</t>
  </si>
  <si>
    <t>Evaluar si existen KPIs operativos-financieros homogéneos, fiables y conectados con la gestión.</t>
  </si>
  <si>
    <t>KPIs dispersos, manuales y con definiciones inconsistentes.</t>
  </si>
  <si>
    <t>KPIs básicos por área, con limitaciones de frecuencia y trazabilidad.</t>
  </si>
  <si>
    <t>Catálogo de KPIs operativos-financieros definido, con owners, periodicidad y fuentes.</t>
  </si>
  <si>
    <t>KPIs integrados, automatizados y conectados con procesos, productividad, coste y control.</t>
  </si>
  <si>
    <t>AI genera alertas e insights operativos en tiempo real, detecta desviaciones y recomienda acciones de mejora.</t>
  </si>
  <si>
    <t>Proactive defect resolution recommendations; Next-generation store operations; AI agents for service lifecycle management</t>
  </si>
  <si>
    <t>¿Existe catálogo de KPIs?
¿Hay definiciones comunes?
¿Se conectan KPIs con decisiones?
¿Se detectan desviaciones?</t>
  </si>
  <si>
    <t>Catálogo de KPIs; dashboards; fuentes; definiciones; owners; actas de revisión.</t>
  </si>
  <si>
    <t>Rediseñar reporting operativo-financiero con KPIs homogéneos, alertas y explicación automática de desviaciones.</t>
  </si>
  <si>
    <t>4.2 Calidad, integración y gobierno de datos operativos</t>
  </si>
  <si>
    <t>Evaluar la integración, calidad y gobierno de los datos usados en informes operativos.</t>
  </si>
  <si>
    <t>Datos manuales desde múltiples fuentes, con conciliaciones y correcciones frecuentes.</t>
  </si>
  <si>
    <t>Integraciones parciales y controles básicos de calidad.</t>
  </si>
  <si>
    <t>Fuentes oficiales, reglas de calidad y modelo de datos documentado.</t>
  </si>
  <si>
    <t>Capa integrada de datos operativos-financieros, controles automáticos y gestión de incidencias.</t>
  </si>
  <si>
    <t>AI detecta inconsistencias en master data, automatiza datos de fuentes diversas y guía workflows de cambios de datos maestros.</t>
  </si>
  <si>
    <t>Guided adaptable workflows for master data record changes; Identify inconsistencies in master data records; Automate financial data across diverse sources</t>
  </si>
  <si>
    <t>¿Qué fuentes alimentan reporting?
¿Hay single source of truth?
¿Se gobiernan maestros?
¿Se mide calidad de dato?</t>
  </si>
  <si>
    <t>Modelo de datos; fuentes; reglas de calidad; incidencias; maestro; logs de carga.</t>
  </si>
  <si>
    <t>Implantar gobierno de datos operativos-financieros con controles de calidad, master data management y workflow de remediación.</t>
  </si>
  <si>
    <t>4.3 Automatización del reporting operativo</t>
  </si>
  <si>
    <t>Evaluar el grado de automatización, frecuencia y accesibilidad del reporting operativo.</t>
  </si>
  <si>
    <t>Reportes preparados manualmente y distribuidos de forma estática.</t>
  </si>
  <si>
    <t>Informes recurrentes con cierta automatización, pero ajustes manuales significativos.</t>
  </si>
  <si>
    <t>Reporting operativo estándar, con dashboards y actualizaciones periódicas.</t>
  </si>
  <si>
    <t>Reporting automatizado, con drill-down, alertas, comentarios y acceso por rol.</t>
  </si>
  <si>
    <t>AI permite reporting operativo bajo demanda, búsqueda conversacional, extracción histórica y generación de resúmenes ejecutivos.</t>
  </si>
  <si>
    <t>Data access for all; Enterprise-wide data search and access; AI-powered archive access and extraction</t>
  </si>
  <si>
    <t>¿Cuánto esfuerzo manual requiere el reporting?
¿Hay autoservicio?
¿Se actualiza con frecuencia?
¿Se puede hacer drill-down?</t>
  </si>
  <si>
    <t>Dashboards; reportes; logs de actualización; usuarios; permisos; plantillas.</t>
  </si>
  <si>
    <t>Construir reporting operativo autoservicio con capa conversacional, extracción de datos y generación automática de insights.</t>
  </si>
  <si>
    <t>4.4 Rutinas de gestión, incidencias y mejora continua</t>
  </si>
  <si>
    <t>Evaluar si el reporting operativo desencadena acciones, resolución de incidencias y mejora continua.</t>
  </si>
  <si>
    <t>Informes no generan acciones formales ni seguimiento estructurado.</t>
  </si>
  <si>
    <t>Seguimiento manual de incidencias, con acciones poco trazables.</t>
  </si>
  <si>
    <t>Rutinas de revisión con responsables, acciones y seguimiento periódico.</t>
  </si>
  <si>
    <t>Modelo de mejora continua basado en KPIs, root cause, priorización e impacto financiero.</t>
  </si>
  <si>
    <t>AI prioriza incidencias, recomienda resolución, asigna tareas y aprende de tiempos reales de ejecución para mejorar productividad.</t>
  </si>
  <si>
    <t>Proactive defect resolution recommendations; Autonomous field operations management; AI-driven permitting</t>
  </si>
  <si>
    <t>¿Se asignan acciones?
¿Hay owners?
¿Se hace root cause?
¿Se mide impacto de mejoras?</t>
  </si>
  <si>
    <t>Trackers de acciones; incidencias; actas; KPIs; planes de mejora; análisis causa-raíz.</t>
  </si>
  <si>
    <t>Implantar workflow de gestión de incidencias con priorización AI, root cause y seguimiento de beneficios.</t>
  </si>
  <si>
    <t>Contabilidad de proyectos</t>
  </si>
  <si>
    <t>5.1 Alta, estructura y codificación de proyectos</t>
  </si>
  <si>
    <t>Evaluar si los proyectos se crean y estructuran con criterios homogéneos para control financiero.</t>
  </si>
  <si>
    <t>Proyectos creados manualmente, con codificación inconsistente y poca relación con presupuesto/contrato.</t>
  </si>
  <si>
    <t>Estructura básica de proyectos, con reglas parciales de codificación y responsables.</t>
  </si>
  <si>
    <t>Modelo estándar de creación, codificación, WBS, ownership y conexión con presupuesto/contrato.</t>
  </si>
  <si>
    <t>Alta integrada con business case, presupuesto, compras, tiempos, facturación y reporting.</t>
  </si>
  <si>
    <t>AI asiste la creación de estructuras de proyecto, clasificación de costes, metadata y documentación a partir de contratos, SoWs y planes.</t>
  </si>
  <si>
    <t>Drafting contracts and SoWs; Generate metadata documentation; AI-powered RFP and knowledge assistant</t>
  </si>
  <si>
    <t>¿Existe codificación estándar?
¿Se vincula proyecto con contrato/presupuesto?
¿Hay owners?
¿Se controla WBS?</t>
  </si>
  <si>
    <t>Alta proyecto; WBS; presupuesto; contrato; SoW; maestro de proyectos; aprobaciones.</t>
  </si>
  <si>
    <t>Crear workflow de alta de proyectos con estructura estándar, metadata automática y conexión con contrato/presupuesto.</t>
  </si>
  <si>
    <t>5.2 Registro, imputación y control de costes</t>
  </si>
  <si>
    <t>Evaluar el control de imputaciones, costes, compromisos y desviaciones de proyectos.</t>
  </si>
  <si>
    <t>Imputaciones manuales, baja disciplina de codificación y poca visibilidad de compromisos.</t>
  </si>
  <si>
    <t>Controles básicos de coste y compromisos, con análisis de desviaciones manual.</t>
  </si>
  <si>
    <t>Proceso estándar de imputación, compromisos, aprobaciones y reporting de desviaciones.</t>
  </si>
  <si>
    <t>Control integrado de costes reales, comprometidos, forecast, presupuesto y margen por proyecto.</t>
  </si>
  <si>
    <t>AI detecta errores de clasificación/imputación, anomalías de coste y recomienda acciones para corregir desviaciones tempranamente.</t>
  </si>
  <si>
    <t>Identify expense classification errors; Proactive defect resolution recommendations; Identify past data patterns to predict and improve future financial performance</t>
  </si>
  <si>
    <t>¿Se imputan costes correctamente?
¿Hay compromisos visibles?
¿Se detectan desviaciones temprano?
¿Se clasifican costes de forma homogénea?</t>
  </si>
  <si>
    <t>Costes reales; compromisos; presupuestos; desviaciones; imputaciones; aprobaciones; KPIs proyecto.</t>
  </si>
  <si>
    <t>Desplegar modelo de control de costes de proyecto con detección de anomalías, clasificación y alertas tempranas.</t>
  </si>
  <si>
    <t>5.3 Facturación, ingresos y margen de proyectos</t>
  </si>
  <si>
    <t>Evaluar la conexión entre avance, hitos, ingresos, facturación y margen de proyectos.</t>
  </si>
  <si>
    <t>Ingresos/facturación gestionados manualmente, con baja conexión a avance real o hitos.</t>
  </si>
  <si>
    <t>Control básico de hitos y facturación, con conciliaciones manuales.</t>
  </si>
  <si>
    <t>Modelo estándar de avance, hitos, facturación, revenue recognition y margen.</t>
  </si>
  <si>
    <t>Integración entre contrato, avance, costes, facturación, ingresos y margen, con controles preventivos.</t>
  </si>
  <si>
    <t>AI identifica obligaciones contractuales, genera alertas de hitos/facturación y detecta revenue leakage o riesgo de margen.</t>
  </si>
  <si>
    <t>Read customer contracts and identify performance obligations; Identify &amp; proactively correct revenue leakage; Automated invoice error detection &amp; correction</t>
  </si>
  <si>
    <t>¿Los hitos disparan facturación?
¿Se controla revenue recognition?
¿Se mide margen por proyecto?
¿Hay leakage?</t>
  </si>
  <si>
    <t>Contrato; hitos; facturas; ingresos; margen; avance; notas de crédito; revenue recognition.</t>
  </si>
  <si>
    <t>Crear control AI de contrato-hito-factura-ingreso-margen para proyectos, con alertas de leakage y desviaciones.</t>
  </si>
  <si>
    <t>5.4 Forecast, cierre y análisis del proyecto</t>
  </si>
  <si>
    <t>Evaluar madurez de forecast, cierre económico y análisis post-mortem de proyectos.</t>
  </si>
  <si>
    <t>Forecast manual o inexistente, cierre tardío y sin análisis de lecciones aprendidas.</t>
  </si>
  <si>
    <t>Forecast básico de coste/margen y cierre con revisión manual.</t>
  </si>
  <si>
    <t>Forecast recurrente y cierre estructurado con análisis de desviaciones por proyecto.</t>
  </si>
  <si>
    <t>Forecast integrado coste-ingreso-caja, revisión de margen, lecciones aprendidas y acciones de mejora.</t>
  </si>
  <si>
    <t>AI predice performance futura del proyecto, genera escenarios, recomendaciones y resumen ejecutivo de salud financiera.</t>
  </si>
  <si>
    <t>Identify past data patterns to predict and improve future financial performance; Generate executive level overview of company financial health; Project-level recommendations</t>
  </si>
  <si>
    <t>¿Se actualiza forecast de proyectos?
¿Se analiza margen?
¿Se cierra con lecciones?
¿Se anticipan desviaciones?</t>
  </si>
  <si>
    <t>Forecast; margen; cash flow proyecto; cierre; post-mortem; acciones de mejora; reporting ejecutivo.</t>
  </si>
  <si>
    <t>Implantar forecast predictivo de proyectos con escenarios, alertas de margen/caja y recomendaciones de acción.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</si>
  <si>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</si>
  <si>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</si>
  <si>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</si>
  <si>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</si>
  <si>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</si>
  <si>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</si>
  <si>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</si>
  <si>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</si>
  <si>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</si>
  <si>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</si>
  <si>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</si>
  <si>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</si>
  <si>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</si>
  <si>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</si>
  <si>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</si>
  <si>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</si>
  <si>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</si>
  <si>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</si>
  <si>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</si>
  <si>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</si>
  <si>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</si>
  <si>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</si>
  <si>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</si>
  <si>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</si>
  <si>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</si>
  <si>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</si>
  <si>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</si>
  <si>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</si>
  <si>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</si>
  <si>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</si>
  <si>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</si>
  <si>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</si>
  <si>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</si>
  <si>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</si>
  <si>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eficiencia operativa,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</si>
  <si>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</si>
  <si>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</si>
  <si>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</si>
  <si>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</si>
  <si>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</si>
  <si>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Transaccional | Assessment-ready con AI</t>
  </si>
  <si>
    <t>Uso</t>
  </si>
  <si>
    <t>Puntuar cada subcapacidad en Procesos, Tecnología y Organización usando escala 1-5.</t>
  </si>
  <si>
    <t>Dominio</t>
  </si>
  <si>
    <t>Transacciones: Source-to-Pay, Order-to-Cash, Activos fijos / Gestión de activos, Informes operativos y Contabilidad de proyectos.</t>
  </si>
  <si>
    <t>Nivel avanzado</t>
  </si>
  <si>
    <t>Los niveles 5 incorporan casos de uso AI del fichero consolidado F3M_AI_Mapping_Consolidado_v1.xlsx; en capacidades con menor cobertura directa se han usado casos del consolidado por analogía funcional.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</si>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</sst>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 - Transaccional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Source-to-Pay</c:v>
                </c:pt>
                <c:pt idx="1">
                  <c:v>Order-to-Cash</c:v>
                </c:pt>
                <c:pt idx="2">
                  <c:v>Activos fijos / Gestión de activos</c:v>
                </c:pt>
                <c:pt idx="3">
                  <c:v>Informes operativos</c:v>
                </c:pt>
                <c:pt idx="4">
                  <c:v>Contabilidad de proyectos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5-4A35-B463-7292F8847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2" activePane="bottomLeft" state="frozen"/>
      <selection pane="bottomLeft" activeCell="E2" sqref="E2"/>
    </sheetView>
  </sheetViews>
  <sheetFormatPr defaultRowHeight="14.4" x14ac:dyDescent="0.3"/>
  <cols>
    <col min="1" max="1" width="30" customWidth="1"/>
    <col min="2" max="2" width="48" customWidth="1"/>
    <col min="3" max="3" width="58" customWidth="1"/>
    <col min="4" max="6" width="48" customWidth="1"/>
    <col min="7" max="7" width="50" customWidth="1"/>
    <col min="8" max="8" width="68" customWidth="1"/>
    <col min="9" max="9" width="5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60" customWidth="1"/>
    <col min="18" max="18" width="55" customWidth="1"/>
    <col min="19" max="19" width="78" customWidth="1"/>
    <col min="20" max="20" width="42" customWidth="1"/>
  </cols>
  <sheetData>
    <row r="1" spans="1:20" ht="44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105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IF(COUNTA(J2:L2)=0,"",ROUND(AVERAGE(J2:L2),2))</f>
        <v/>
      </c>
      <c r="N2" s="2" t="str">
        <f t="shared" ref="N2:N21" si="1">IF(M2="","",IF(M2&lt;1.5,"1 - Inicial",IF(M2&lt;2.5,"2 - Estructurado",IF(M2&lt;3.5,"3 - Estandarizado",IF(M2&lt;4.5,"4 - Optimizado","5 - Avanzado/Referente")))))</f>
        <v/>
      </c>
      <c r="O2" s="2" t="str">
        <f t="shared" ref="O2:O21" si="2">IF(M2="","",MAX(0,4-M2))</f>
        <v/>
      </c>
      <c r="P2" s="2" t="str">
        <f t="shared" ref="P2:P21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105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105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105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105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105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105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105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105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105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105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105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105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105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105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105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105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105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105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105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J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P2:P21">
    <cfRule type="expression" dxfId="2" priority="5">
      <formula>P2="Alta"</formula>
    </cfRule>
    <cfRule type="expression" dxfId="1" priority="6">
      <formula>P2="Media"</formula>
    </cfRule>
    <cfRule type="expression" dxfId="0" priority="7">
      <formula>P2="Baja"</formula>
    </cfRule>
  </conditionalFormatting>
  <dataValidations count="1">
    <dataValidation type="whole" allowBlank="1" errorTitle="Puntuación no válida" error="Introduce una puntuación entera entre 1 y 5." sqref="J2:J21 K2:K21 L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7" width="30" customWidth="1"/>
  </cols>
  <sheetData>
    <row r="1" spans="1:7" x14ac:dyDescent="0.3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3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>IF(E2="","",MAX(0,4-E2))</f>
        <v/>
      </c>
      <c r="G2" s="2" t="str">
        <f>IF(E2="","",IF(F2&gt;=2,"Alta",IF(F2&gt;=1,"Media","Baja")))</f>
        <v/>
      </c>
    </row>
    <row r="3" spans="1:7" x14ac:dyDescent="0.3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>IF(E3="","",MAX(0,4-E3))</f>
        <v/>
      </c>
      <c r="G3" s="2" t="str">
        <f>IF(E3="","",IF(F3&gt;=2,"Alta",IF(F3&gt;=1,"Media","Baja")))</f>
        <v/>
      </c>
    </row>
    <row r="4" spans="1:7" x14ac:dyDescent="0.3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>IF(E4="","",MAX(0,4-E4))</f>
        <v/>
      </c>
      <c r="G4" s="2" t="str">
        <f>IF(E4="","",IF(F4&gt;=2,"Alta",IF(F4&gt;=1,"Media","Baja")))</f>
        <v/>
      </c>
    </row>
    <row r="5" spans="1:7" x14ac:dyDescent="0.3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>IF(E5="","",MAX(0,4-E5))</f>
        <v/>
      </c>
      <c r="G5" s="2" t="str">
        <f>IF(E5="","",IF(F5&gt;=2,"Alta",IF(F5&gt;=1,"Media","Baja")))</f>
        <v/>
      </c>
    </row>
    <row r="6" spans="1:7" x14ac:dyDescent="0.3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>IF(E6="","",MAX(0,4-E6))</f>
        <v/>
      </c>
      <c r="G6" s="2" t="str">
        <f>IF(E6="","",IF(F6&gt;=2,"Alta",IF(F6&gt;=1,"Media","Baja")))</f>
        <v/>
      </c>
    </row>
    <row r="7" spans="1:7" x14ac:dyDescent="0.3">
      <c r="A7" s="2"/>
      <c r="B7" s="2"/>
      <c r="C7" s="2"/>
      <c r="D7" s="2"/>
      <c r="E7" s="2"/>
      <c r="F7" s="2"/>
      <c r="G7" s="2"/>
    </row>
    <row r="8" spans="1:7" x14ac:dyDescent="0.3">
      <c r="A8" s="3" t="s">
        <v>245</v>
      </c>
      <c r="B8" s="3" t="str">
        <f>IFERROR(ROUND(AVERAGE(B2:B6),2),"")</f>
        <v/>
      </c>
      <c r="C8" s="3" t="str">
        <f>IFERROR(ROUND(AVERAGE(C2:C6),2),"")</f>
        <v/>
      </c>
      <c r="D8" s="3" t="str">
        <f>IFERROR(ROUND(AVERAGE(D2:D6),2),"")</f>
        <v/>
      </c>
      <c r="E8" s="3" t="str">
        <f>IFERROR(ROUND(AVERAGE(E2:E6),2),"")</f>
        <v/>
      </c>
      <c r="F8" s="3" t="str">
        <f>IFERROR(ROUND(AVERAGE(F2:F6),2),"")</f>
        <v/>
      </c>
      <c r="G8" s="3" t="str">
        <f>IF(E8="","",IF(F8&gt;=2,"Alta",IF(F8&gt;=1,"Media","Baja")))</f>
        <v/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6" width="14" customWidth="1"/>
    <col min="7" max="7" width="10" customWidth="1"/>
    <col min="8" max="8" width="12" customWidth="1"/>
    <col min="9" max="9" width="60" customWidth="1"/>
  </cols>
  <sheetData>
    <row r="1" spans="1:9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  <c r="I1" s="1" t="s">
        <v>251</v>
      </c>
    </row>
    <row r="2" spans="1:9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Using data from contract management system, forecast monthly expense for all third-party contracts; Resilient logistics and planning</v>
      </c>
    </row>
    <row r="3" spans="1:9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Resilient logistics and planning; Supplier assessment AI; Drafting contracts and SoWs</v>
      </c>
    </row>
    <row r="4" spans="1:9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Drafting contracts and SoWs; AI-powered RFP and knowledge assistant; Using data from contract management system forecast monthly expense</v>
      </c>
    </row>
    <row r="5" spans="1:9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Recommend most optimal payment timing; Proactive defect resolution recommendations; Guided adaptable workflows for master data record changes</v>
      </c>
    </row>
    <row r="6" spans="1:9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Read customer contracts and identify performance obligations; Identify &amp; proactively correct revenue leakage; AI assistant for vehicle buying and leasing</v>
      </c>
    </row>
    <row r="7" spans="1:9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Automated invoice error detection &amp; correction; Generate customized invoices for nonstandard customer orders</v>
      </c>
    </row>
    <row r="8" spans="1:9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Facilitate payment collection to identify collections gaps and automate outreach; Recommend optimal payment terms to improve DSO; Denial appeal letters</v>
      </c>
    </row>
    <row r="9" spans="1:9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AI agents for credit underwriting; Predicts late payments or defaults; Recommend optimal payment terms to improve DSO</v>
      </c>
    </row>
    <row r="10" spans="1:9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Identify expense classification errors; Generate metadata documentation; Guided adaptable workflows for master data record changes</v>
      </c>
    </row>
    <row r="11" spans="1:9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Identify inconsistencies in master data records; AI-powered archive access and extraction; Autonomous drone-based infrastructure inspection</v>
      </c>
    </row>
    <row r="12" spans="1:9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AI-driven predictive maintenance; Identify past data patterns to predict and improve future financial performance</v>
      </c>
    </row>
    <row r="13" spans="1:9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Project-level recommendations; AI-driven predictive maintenance; Autonomous drone-based infrastructure inspection</v>
      </c>
    </row>
    <row r="14" spans="1:9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Proactive defect resolution recommendations; Next-generation store operations; AI agents for service lifecycle management</v>
      </c>
    </row>
    <row r="15" spans="1:9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Guided adaptable workflows for master data record changes; Identify inconsistencies in master data records; Automate financial data across diverse sources</v>
      </c>
    </row>
    <row r="16" spans="1:9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Data access for all; Enterprise-wide data search and access; AI-powered archive access and extraction</v>
      </c>
    </row>
    <row r="17" spans="1:9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Proactive defect resolution recommendations; Autonomous field operations management; AI-driven permitting</v>
      </c>
    </row>
    <row r="18" spans="1:9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Drafting contracts and SoWs; Generate metadata documentation; AI-powered RFP and knowledge assistant</v>
      </c>
    </row>
    <row r="19" spans="1:9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Identify expense classification errors; Proactive defect resolution recommendations; Identify past data patterns to predict and improve future financial performance</v>
      </c>
    </row>
    <row r="20" spans="1:9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Read customer contracts and identify performance obligations; Identify &amp; proactively correct revenue leakage; Automated invoice error detection &amp; correction</v>
      </c>
    </row>
    <row r="21" spans="1:9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Identify past data patterns to predict and improve future financial performance; Generate executive level overview of company financial health; Project-level recommendations</v>
      </c>
    </row>
  </sheetData>
  <autoFilter ref="A1:I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10" customWidth="1"/>
    <col min="4" max="4" width="12" customWidth="1"/>
    <col min="5" max="5" width="78" customWidth="1"/>
    <col min="6" max="6" width="60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252</v>
      </c>
      <c r="G1" s="1" t="s">
        <v>253</v>
      </c>
      <c r="H1" s="1" t="s">
        <v>254</v>
      </c>
      <c r="I1" s="1" t="s">
        <v>255</v>
      </c>
      <c r="J1" s="1" t="s">
        <v>256</v>
      </c>
    </row>
    <row r="2" spans="1:10" ht="28.8" x14ac:dyDescent="0.3">
      <c r="A2" s="2" t="str">
        <f>Assessment!A2</f>
        <v>Source-to-Pay</v>
      </c>
      <c r="B2" s="2" t="str">
        <f>Assessment!B2</f>
        <v>1.1 Estrategia de compras, categorías y demanda</v>
      </c>
      <c r="C2" s="2" t="str">
        <f>Assessment!O2</f>
        <v/>
      </c>
      <c r="D2" s="2" t="str">
        <f>Assessment!P2</f>
        <v/>
      </c>
      <c r="E2" s="2" t="str">
        <f>Assessment!S2</f>
        <v>Implantar planificación de demanda de compras por categoría con forecast de gasto contractual y conexión con presupuesto.</v>
      </c>
      <c r="F2" s="2" t="str">
        <f>Assessment!I2</f>
        <v>Using data from contract management system, forecast monthly expense for all third-party contracts; Resilient logistics and planning</v>
      </c>
      <c r="G2" s="2" t="str">
        <f t="shared" ref="G2:G21" si="0">IF(D2="Alta","Oleada 1",IF(D2="Media","Oleada 2","Oleada 3"))</f>
        <v>Oleada 3</v>
      </c>
      <c r="H2" s="2"/>
      <c r="I2" s="2" t="s">
        <v>257</v>
      </c>
      <c r="J2" s="2"/>
    </row>
    <row r="3" spans="1:10" ht="28.8" x14ac:dyDescent="0.3">
      <c r="A3" s="2" t="str">
        <f>Assessment!A3</f>
        <v>Source-to-Pay</v>
      </c>
      <c r="B3" s="2" t="str">
        <f>Assessment!B3</f>
        <v>1.2 Selección, evaluación y gestión de proveedores</v>
      </c>
      <c r="C3" s="2" t="str">
        <f>Assessment!O3</f>
        <v/>
      </c>
      <c r="D3" s="2" t="str">
        <f>Assessment!P3</f>
        <v/>
      </c>
      <c r="E3" s="2" t="str">
        <f>Assessment!S3</f>
        <v>Crear modelo de supplier intelligence con indicadores de desempeño, riesgo, compliance y recomendaciones de sourcing.</v>
      </c>
      <c r="F3" s="2" t="str">
        <f>Assessment!I3</f>
        <v>Resilient logistics and planning; Supplier assessment AI; Drafting contracts and SoWs</v>
      </c>
      <c r="G3" s="2" t="str">
        <f t="shared" si="0"/>
        <v>Oleada 3</v>
      </c>
      <c r="H3" s="2"/>
      <c r="I3" s="2" t="s">
        <v>257</v>
      </c>
      <c r="J3" s="2"/>
    </row>
    <row r="4" spans="1:10" ht="43.2" x14ac:dyDescent="0.3">
      <c r="A4" s="2" t="str">
        <f>Assessment!A4</f>
        <v>Source-to-Pay</v>
      </c>
      <c r="B4" s="2" t="str">
        <f>Assessment!B4</f>
        <v>1.3 Gestión contractual, RFPs y SoWs</v>
      </c>
      <c r="C4" s="2" t="str">
        <f>Assessment!O4</f>
        <v/>
      </c>
      <c r="D4" s="2" t="str">
        <f>Assessment!P4</f>
        <v/>
      </c>
      <c r="E4" s="2" t="str">
        <f>Assessment!S4</f>
        <v>Implantar asistente contractual AI para generación, revisión y explotación financiera de contratos y SoWs.</v>
      </c>
      <c r="F4" s="2" t="str">
        <f>Assessment!I4</f>
        <v>Drafting contracts and SoWs; AI-powered RFP and knowledge assistant; Using data from contract management system forecast monthly expense</v>
      </c>
      <c r="G4" s="2" t="str">
        <f t="shared" si="0"/>
        <v>Oleada 3</v>
      </c>
      <c r="H4" s="2"/>
      <c r="I4" s="2" t="s">
        <v>257</v>
      </c>
      <c r="J4" s="2"/>
    </row>
    <row r="5" spans="1:10" ht="43.2" x14ac:dyDescent="0.3">
      <c r="A5" s="2" t="str">
        <f>Assessment!A5</f>
        <v>Source-to-Pay</v>
      </c>
      <c r="B5" s="2" t="str">
        <f>Assessment!B5</f>
        <v>1.4 Orden de compra, recepción y aprobación</v>
      </c>
      <c r="C5" s="2" t="str">
        <f>Assessment!O5</f>
        <v/>
      </c>
      <c r="D5" s="2" t="str">
        <f>Assessment!P5</f>
        <v/>
      </c>
      <c r="E5" s="2" t="str">
        <f>Assessment!S5</f>
        <v>Digitalizar workflow PR/PO/recepción con controles automáticos, excepciones y recomendaciones de aprobación/pago.</v>
      </c>
      <c r="F5" s="2" t="str">
        <f>Assessment!I5</f>
        <v>Recommend most optimal payment timing; Proactive defect resolution recommendations; Guided adaptable workflows for master data record changes</v>
      </c>
      <c r="G5" s="2" t="str">
        <f t="shared" si="0"/>
        <v>Oleada 3</v>
      </c>
      <c r="H5" s="2"/>
      <c r="I5" s="2" t="s">
        <v>257</v>
      </c>
      <c r="J5" s="2"/>
    </row>
    <row r="6" spans="1:10" ht="43.2" x14ac:dyDescent="0.3">
      <c r="A6" s="2" t="str">
        <f>Assessment!A6</f>
        <v>Order-to-Cash</v>
      </c>
      <c r="B6" s="2" t="str">
        <f>Assessment!B6</f>
        <v>2.1 Gestión de pedidos, contratos y condiciones comerciales</v>
      </c>
      <c r="C6" s="2" t="str">
        <f>Assessment!O6</f>
        <v/>
      </c>
      <c r="D6" s="2" t="str">
        <f>Assessment!P6</f>
        <v/>
      </c>
      <c r="E6" s="2" t="str">
        <f>Assessment!S6</f>
        <v>Crear controles automáticos de pedido/contrato/precio con detección de condiciones atípicas y revenue leakage.</v>
      </c>
      <c r="F6" s="2" t="str">
        <f>Assessment!I6</f>
        <v>Read customer contracts and identify performance obligations; Identify &amp; proactively correct revenue leakage; AI assistant for vehicle buying and leasing</v>
      </c>
      <c r="G6" s="2" t="str">
        <f t="shared" si="0"/>
        <v>Oleada 3</v>
      </c>
      <c r="H6" s="2"/>
      <c r="I6" s="2" t="s">
        <v>257</v>
      </c>
      <c r="J6" s="2"/>
    </row>
    <row r="7" spans="1:10" ht="28.8" x14ac:dyDescent="0.3">
      <c r="A7" s="2" t="str">
        <f>Assessment!A7</f>
        <v>Order-to-Cash</v>
      </c>
      <c r="B7" s="2" t="str">
        <f>Assessment!B7</f>
        <v>2.2 Facturación y emisión de documentos</v>
      </c>
      <c r="C7" s="2" t="str">
        <f>Assessment!O7</f>
        <v/>
      </c>
      <c r="D7" s="2" t="str">
        <f>Assessment!P7</f>
        <v/>
      </c>
      <c r="E7" s="2" t="str">
        <f>Assessment!S7</f>
        <v>Implantar motor AI de validación y corrección preventiva de facturas antes de emisión.</v>
      </c>
      <c r="F7" s="2" t="str">
        <f>Assessment!I7</f>
        <v>Automated invoice error detection &amp; correction; Generate customized invoices for nonstandard customer orders</v>
      </c>
      <c r="G7" s="2" t="str">
        <f t="shared" si="0"/>
        <v>Oleada 3</v>
      </c>
      <c r="H7" s="2"/>
      <c r="I7" s="2" t="s">
        <v>257</v>
      </c>
      <c r="J7" s="2"/>
    </row>
    <row r="8" spans="1:10" ht="43.2" x14ac:dyDescent="0.3">
      <c r="A8" s="2" t="str">
        <f>Assessment!A8</f>
        <v>Order-to-Cash</v>
      </c>
      <c r="B8" s="2" t="str">
        <f>Assessment!B8</f>
        <v>2.3 Cobros, aplicación de pagos y gestión de disputas</v>
      </c>
      <c r="C8" s="2" t="str">
        <f>Assessment!O8</f>
        <v/>
      </c>
      <c r="D8" s="2" t="str">
        <f>Assessment!P8</f>
        <v/>
      </c>
      <c r="E8" s="2" t="str">
        <f>Assessment!S8</f>
        <v>Desplegar asistente de cobranzas/intelligent collections con priorización, outreach automatizado y recomendaciones de términos.</v>
      </c>
      <c r="F8" s="2" t="str">
        <f>Assessment!I8</f>
        <v>Facilitate payment collection to identify collections gaps and automate outreach; Recommend optimal payment terms to improve DSO; Denial appeal letters</v>
      </c>
      <c r="G8" s="2" t="str">
        <f t="shared" si="0"/>
        <v>Oleada 3</v>
      </c>
      <c r="H8" s="2"/>
      <c r="I8" s="2" t="s">
        <v>257</v>
      </c>
      <c r="J8" s="2"/>
    </row>
    <row r="9" spans="1:10" ht="28.8" x14ac:dyDescent="0.3">
      <c r="A9" s="2" t="str">
        <f>Assessment!A9</f>
        <v>Order-to-Cash</v>
      </c>
      <c r="B9" s="2" t="str">
        <f>Assessment!B9</f>
        <v>2.4 Crédito, riesgo cliente y control de exposición</v>
      </c>
      <c r="C9" s="2" t="str">
        <f>Assessment!O9</f>
        <v/>
      </c>
      <c r="D9" s="2" t="str">
        <f>Assessment!P9</f>
        <v/>
      </c>
      <c r="E9" s="2" t="str">
        <f>Assessment!S9</f>
        <v>Construir modelo predictivo de riesgo cliente con recomendaciones de límite, términos y acciones preventivas.</v>
      </c>
      <c r="F9" s="2" t="str">
        <f>Assessment!I9</f>
        <v>AI agents for credit underwriting; Predicts late payments or defaults; Recommend optimal payment terms to improve DSO</v>
      </c>
      <c r="G9" s="2" t="str">
        <f t="shared" si="0"/>
        <v>Oleada 3</v>
      </c>
      <c r="H9" s="2"/>
      <c r="I9" s="2" t="s">
        <v>257</v>
      </c>
      <c r="J9" s="2"/>
    </row>
    <row r="10" spans="1:10" ht="43.2" x14ac:dyDescent="0.3">
      <c r="A10" s="2" t="str">
        <f>Assessment!A10</f>
        <v>Activos fijos / Gestión de activos</v>
      </c>
      <c r="B10" s="2" t="str">
        <f>Assessment!B10</f>
        <v>3.1 Alta, capitalización y clasificación de activos</v>
      </c>
      <c r="C10" s="2" t="str">
        <f>Assessment!O10</f>
        <v/>
      </c>
      <c r="D10" s="2" t="str">
        <f>Assessment!P10</f>
        <v/>
      </c>
      <c r="E10" s="2" t="str">
        <f>Assessment!S10</f>
        <v>Implantar clasificación asistida CAPEX/OPEX y workflow de alta de activos con controles de soporte documental.</v>
      </c>
      <c r="F10" s="2" t="str">
        <f>Assessment!I10</f>
        <v>Identify expense classification errors; Generate metadata documentation; Guided adaptable workflows for master data record changes</v>
      </c>
      <c r="G10" s="2" t="str">
        <f t="shared" si="0"/>
        <v>Oleada 3</v>
      </c>
      <c r="H10" s="2"/>
      <c r="I10" s="2" t="s">
        <v>257</v>
      </c>
      <c r="J10" s="2"/>
    </row>
    <row r="11" spans="1:10" ht="43.2" x14ac:dyDescent="0.3">
      <c r="A11" s="2" t="str">
        <f>Assessment!A11</f>
        <v>Activos fijos / Gestión de activos</v>
      </c>
      <c r="B11" s="2" t="str">
        <f>Assessment!B11</f>
        <v>3.2 Inventario, localización y trazabilidad de activos</v>
      </c>
      <c r="C11" s="2" t="str">
        <f>Assessment!O11</f>
        <v/>
      </c>
      <c r="D11" s="2" t="str">
        <f>Assessment!P11</f>
        <v/>
      </c>
      <c r="E11" s="2" t="str">
        <f>Assessment!S11</f>
        <v>Crear modelo de asset intelligence con calidad de master data, inventario, conciliación y trazabilidad de ciclo de vida.</v>
      </c>
      <c r="F11" s="2" t="str">
        <f>Assessment!I11</f>
        <v>Identify inconsistencies in master data records; AI-powered archive access and extraction; Autonomous drone-based infrastructure inspection</v>
      </c>
      <c r="G11" s="2" t="str">
        <f t="shared" si="0"/>
        <v>Oleada 3</v>
      </c>
      <c r="H11" s="2"/>
      <c r="I11" s="2" t="s">
        <v>257</v>
      </c>
      <c r="J11" s="2"/>
    </row>
    <row r="12" spans="1:10" ht="28.8" x14ac:dyDescent="0.3">
      <c r="A12" s="2" t="str">
        <f>Assessment!A12</f>
        <v>Activos fijos / Gestión de activos</v>
      </c>
      <c r="B12" s="2" t="str">
        <f>Assessment!B12</f>
        <v>3.3 Depreciación, impairments y valoración</v>
      </c>
      <c r="C12" s="2" t="str">
        <f>Assessment!O12</f>
        <v/>
      </c>
      <c r="D12" s="2" t="str">
        <f>Assessment!P12</f>
        <v/>
      </c>
      <c r="E12" s="2" t="str">
        <f>Assessment!S12</f>
        <v>Desarrollar modelo analítico para anticipar deterioros y revisar vida útil con datos financieros y operativos.</v>
      </c>
      <c r="F12" s="2" t="str">
        <f>Assessment!I12</f>
        <v>AI-driven predictive maintenance; Identify past data patterns to predict and improve future financial performance</v>
      </c>
      <c r="G12" s="2" t="str">
        <f t="shared" si="0"/>
        <v>Oleada 3</v>
      </c>
      <c r="H12" s="2"/>
      <c r="I12" s="2" t="s">
        <v>257</v>
      </c>
      <c r="J12" s="2"/>
    </row>
    <row r="13" spans="1:10" ht="28.8" x14ac:dyDescent="0.3">
      <c r="A13" s="2" t="str">
        <f>Assessment!A13</f>
        <v>Activos fijos / Gestión de activos</v>
      </c>
      <c r="B13" s="2" t="str">
        <f>Assessment!B13</f>
        <v>3.4 Bajas, desinversiones y control de CAPEX</v>
      </c>
      <c r="C13" s="2" t="str">
        <f>Assessment!O13</f>
        <v/>
      </c>
      <c r="D13" s="2" t="str">
        <f>Assessment!P13</f>
        <v/>
      </c>
      <c r="E13" s="2" t="str">
        <f>Assessment!S13</f>
        <v>Implantar control de CAPEX/asset lifecycle con analítica de coste evitado, riesgo y priorización de inversión/desinversión.</v>
      </c>
      <c r="F13" s="2" t="str">
        <f>Assessment!I13</f>
        <v>Project-level recommendations; AI-driven predictive maintenance; Autonomous drone-based infrastructure inspection</v>
      </c>
      <c r="G13" s="2" t="str">
        <f t="shared" si="0"/>
        <v>Oleada 3</v>
      </c>
      <c r="H13" s="2"/>
      <c r="I13" s="2" t="s">
        <v>257</v>
      </c>
      <c r="J13" s="2"/>
    </row>
    <row r="14" spans="1:10" ht="28.8" x14ac:dyDescent="0.3">
      <c r="A14" s="2" t="str">
        <f>Assessment!A14</f>
        <v>Informes operativos</v>
      </c>
      <c r="B14" s="2" t="str">
        <f>Assessment!B14</f>
        <v>4.1 Modelo de KPIs operativos financieros</v>
      </c>
      <c r="C14" s="2" t="str">
        <f>Assessment!O14</f>
        <v/>
      </c>
      <c r="D14" s="2" t="str">
        <f>Assessment!P14</f>
        <v/>
      </c>
      <c r="E14" s="2" t="str">
        <f>Assessment!S14</f>
        <v>Rediseñar reporting operativo-financiero con KPIs homogéneos, alertas y explicación automática de desviaciones.</v>
      </c>
      <c r="F14" s="2" t="str">
        <f>Assessment!I14</f>
        <v>Proactive defect resolution recommendations; Next-generation store operations; AI agents for service lifecycle management</v>
      </c>
      <c r="G14" s="2" t="str">
        <f t="shared" si="0"/>
        <v>Oleada 3</v>
      </c>
      <c r="H14" s="2"/>
      <c r="I14" s="2" t="s">
        <v>257</v>
      </c>
      <c r="J14" s="2"/>
    </row>
    <row r="15" spans="1:10" ht="43.2" x14ac:dyDescent="0.3">
      <c r="A15" s="2" t="str">
        <f>Assessment!A15</f>
        <v>Informes operativos</v>
      </c>
      <c r="B15" s="2" t="str">
        <f>Assessment!B15</f>
        <v>4.2 Calidad, integración y gobierno de datos operativos</v>
      </c>
      <c r="C15" s="2" t="str">
        <f>Assessment!O15</f>
        <v/>
      </c>
      <c r="D15" s="2" t="str">
        <f>Assessment!P15</f>
        <v/>
      </c>
      <c r="E15" s="2" t="str">
        <f>Assessment!S15</f>
        <v>Implantar gobierno de datos operativos-financieros con controles de calidad, master data management y workflow de remediación.</v>
      </c>
      <c r="F15" s="2" t="str">
        <f>Assessment!I15</f>
        <v>Guided adaptable workflows for master data record changes; Identify inconsistencies in master data records; Automate financial data across diverse sources</v>
      </c>
      <c r="G15" s="2" t="str">
        <f t="shared" si="0"/>
        <v>Oleada 3</v>
      </c>
      <c r="H15" s="2"/>
      <c r="I15" s="2" t="s">
        <v>257</v>
      </c>
      <c r="J15" s="2"/>
    </row>
    <row r="16" spans="1:10" ht="28.8" x14ac:dyDescent="0.3">
      <c r="A16" s="2" t="str">
        <f>Assessment!A16</f>
        <v>Informes operativos</v>
      </c>
      <c r="B16" s="2" t="str">
        <f>Assessment!B16</f>
        <v>4.3 Automatización del reporting operativo</v>
      </c>
      <c r="C16" s="2" t="str">
        <f>Assessment!O16</f>
        <v/>
      </c>
      <c r="D16" s="2" t="str">
        <f>Assessment!P16</f>
        <v/>
      </c>
      <c r="E16" s="2" t="str">
        <f>Assessment!S16</f>
        <v>Construir reporting operativo autoservicio con capa conversacional, extracción de datos y generación automática de insights.</v>
      </c>
      <c r="F16" s="2" t="str">
        <f>Assessment!I16</f>
        <v>Data access for all; Enterprise-wide data search and access; AI-powered archive access and extraction</v>
      </c>
      <c r="G16" s="2" t="str">
        <f t="shared" si="0"/>
        <v>Oleada 3</v>
      </c>
      <c r="H16" s="2"/>
      <c r="I16" s="2" t="s">
        <v>257</v>
      </c>
      <c r="J16" s="2"/>
    </row>
    <row r="17" spans="1:10" ht="28.8" x14ac:dyDescent="0.3">
      <c r="A17" s="2" t="str">
        <f>Assessment!A17</f>
        <v>Informes operativos</v>
      </c>
      <c r="B17" s="2" t="str">
        <f>Assessment!B17</f>
        <v>4.4 Rutinas de gestión, incidencias y mejora continua</v>
      </c>
      <c r="C17" s="2" t="str">
        <f>Assessment!O17</f>
        <v/>
      </c>
      <c r="D17" s="2" t="str">
        <f>Assessment!P17</f>
        <v/>
      </c>
      <c r="E17" s="2" t="str">
        <f>Assessment!S17</f>
        <v>Implantar workflow de gestión de incidencias con priorización AI, root cause y seguimiento de beneficios.</v>
      </c>
      <c r="F17" s="2" t="str">
        <f>Assessment!I17</f>
        <v>Proactive defect resolution recommendations; Autonomous field operations management; AI-driven permitting</v>
      </c>
      <c r="G17" s="2" t="str">
        <f t="shared" si="0"/>
        <v>Oleada 3</v>
      </c>
      <c r="H17" s="2"/>
      <c r="I17" s="2" t="s">
        <v>257</v>
      </c>
      <c r="J17" s="2"/>
    </row>
    <row r="18" spans="1:10" ht="28.8" x14ac:dyDescent="0.3">
      <c r="A18" s="2" t="str">
        <f>Assessment!A18</f>
        <v>Contabilidad de proyectos</v>
      </c>
      <c r="B18" s="2" t="str">
        <f>Assessment!B18</f>
        <v>5.1 Alta, estructura y codificación de proyectos</v>
      </c>
      <c r="C18" s="2" t="str">
        <f>Assessment!O18</f>
        <v/>
      </c>
      <c r="D18" s="2" t="str">
        <f>Assessment!P18</f>
        <v/>
      </c>
      <c r="E18" s="2" t="str">
        <f>Assessment!S18</f>
        <v>Crear workflow de alta de proyectos con estructura estándar, metadata automática y conexión con contrato/presupuesto.</v>
      </c>
      <c r="F18" s="2" t="str">
        <f>Assessment!I18</f>
        <v>Drafting contracts and SoWs; Generate metadata documentation; AI-powered RFP and knowledge assistant</v>
      </c>
      <c r="G18" s="2" t="str">
        <f t="shared" si="0"/>
        <v>Oleada 3</v>
      </c>
      <c r="H18" s="2"/>
      <c r="I18" s="2" t="s">
        <v>257</v>
      </c>
      <c r="J18" s="2"/>
    </row>
    <row r="19" spans="1:10" ht="43.2" x14ac:dyDescent="0.3">
      <c r="A19" s="2" t="str">
        <f>Assessment!A19</f>
        <v>Contabilidad de proyectos</v>
      </c>
      <c r="B19" s="2" t="str">
        <f>Assessment!B19</f>
        <v>5.2 Registro, imputación y control de costes</v>
      </c>
      <c r="C19" s="2" t="str">
        <f>Assessment!O19</f>
        <v/>
      </c>
      <c r="D19" s="2" t="str">
        <f>Assessment!P19</f>
        <v/>
      </c>
      <c r="E19" s="2" t="str">
        <f>Assessment!S19</f>
        <v>Desplegar modelo de control de costes de proyecto con detección de anomalías, clasificación y alertas tempranas.</v>
      </c>
      <c r="F19" s="2" t="str">
        <f>Assessment!I19</f>
        <v>Identify expense classification errors; Proactive defect resolution recommendations; Identify past data patterns to predict and improve future financial performance</v>
      </c>
      <c r="G19" s="2" t="str">
        <f t="shared" si="0"/>
        <v>Oleada 3</v>
      </c>
      <c r="H19" s="2"/>
      <c r="I19" s="2" t="s">
        <v>257</v>
      </c>
      <c r="J19" s="2"/>
    </row>
    <row r="20" spans="1:10" ht="43.2" x14ac:dyDescent="0.3">
      <c r="A20" s="2" t="str">
        <f>Assessment!A20</f>
        <v>Contabilidad de proyectos</v>
      </c>
      <c r="B20" s="2" t="str">
        <f>Assessment!B20</f>
        <v>5.3 Facturación, ingresos y margen de proyectos</v>
      </c>
      <c r="C20" s="2" t="str">
        <f>Assessment!O20</f>
        <v/>
      </c>
      <c r="D20" s="2" t="str">
        <f>Assessment!P20</f>
        <v/>
      </c>
      <c r="E20" s="2" t="str">
        <f>Assessment!S20</f>
        <v>Crear control AI de contrato-hito-factura-ingreso-margen para proyectos, con alertas de leakage y desviaciones.</v>
      </c>
      <c r="F20" s="2" t="str">
        <f>Assessment!I20</f>
        <v>Read customer contracts and identify performance obligations; Identify &amp; proactively correct revenue leakage; Automated invoice error detection &amp; correction</v>
      </c>
      <c r="G20" s="2" t="str">
        <f t="shared" si="0"/>
        <v>Oleada 3</v>
      </c>
      <c r="H20" s="2"/>
      <c r="I20" s="2" t="s">
        <v>257</v>
      </c>
      <c r="J20" s="2"/>
    </row>
    <row r="21" spans="1:10" ht="43.2" x14ac:dyDescent="0.3">
      <c r="A21" s="2" t="str">
        <f>Assessment!A21</f>
        <v>Contabilidad de proyectos</v>
      </c>
      <c r="B21" s="2" t="str">
        <f>Assessment!B21</f>
        <v>5.4 Forecast, cierre y análisis del proyecto</v>
      </c>
      <c r="C21" s="2" t="str">
        <f>Assessment!O21</f>
        <v/>
      </c>
      <c r="D21" s="2" t="str">
        <f>Assessment!P21</f>
        <v/>
      </c>
      <c r="E21" s="2" t="str">
        <f>Assessment!S21</f>
        <v>Implantar forecast predictivo de proyectos con escenarios, alertas de margen/caja y recomendaciones de acción.</v>
      </c>
      <c r="F21" s="2" t="str">
        <f>Assessment!I21</f>
        <v>Identify past data patterns to predict and improve future financial performance; Generate executive level overview of company financial health; Project-level recommendations</v>
      </c>
      <c r="G21" s="2" t="str">
        <f t="shared" si="0"/>
        <v>Oleada 3</v>
      </c>
      <c r="H21" s="2"/>
      <c r="I21" s="2" t="s">
        <v>257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48" customWidth="1"/>
    <col min="3" max="3" width="65" customWidth="1"/>
    <col min="4" max="4" width="95" customWidth="1"/>
    <col min="5" max="5" width="42" customWidth="1"/>
  </cols>
  <sheetData>
    <row r="1" spans="1:5" x14ac:dyDescent="0.3">
      <c r="A1" s="1" t="s">
        <v>0</v>
      </c>
      <c r="B1" s="1" t="s">
        <v>1</v>
      </c>
      <c r="C1" s="1" t="s">
        <v>8</v>
      </c>
      <c r="D1" s="1" t="s">
        <v>258</v>
      </c>
      <c r="E1" s="1" t="s">
        <v>259</v>
      </c>
    </row>
    <row r="2" spans="1:5" ht="28.8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260</v>
      </c>
    </row>
    <row r="3" spans="1:5" ht="28.8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260</v>
      </c>
    </row>
    <row r="4" spans="1:5" ht="28.8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260</v>
      </c>
    </row>
    <row r="5" spans="1:5" ht="43.2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260</v>
      </c>
    </row>
    <row r="6" spans="1:5" ht="43.2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260</v>
      </c>
    </row>
    <row r="7" spans="1:5" ht="28.8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260</v>
      </c>
    </row>
    <row r="8" spans="1:5" ht="43.2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260</v>
      </c>
    </row>
    <row r="9" spans="1:5" ht="28.8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260</v>
      </c>
    </row>
    <row r="10" spans="1:5" ht="28.8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260</v>
      </c>
    </row>
    <row r="11" spans="1:5" ht="28.8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260</v>
      </c>
    </row>
    <row r="12" spans="1:5" ht="28.8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260</v>
      </c>
    </row>
    <row r="13" spans="1:5" ht="28.8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260</v>
      </c>
    </row>
    <row r="14" spans="1:5" ht="28.8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260</v>
      </c>
    </row>
    <row r="15" spans="1:5" ht="43.2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260</v>
      </c>
    </row>
    <row r="16" spans="1:5" ht="28.8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260</v>
      </c>
    </row>
    <row r="17" spans="1:5" ht="28.8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260</v>
      </c>
    </row>
    <row r="18" spans="1:5" ht="28.8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260</v>
      </c>
    </row>
    <row r="19" spans="1:5" ht="43.2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260</v>
      </c>
    </row>
    <row r="20" spans="1:5" ht="43.2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260</v>
      </c>
    </row>
    <row r="21" spans="1:5" ht="43.2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260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workbookViewId="0"/>
  </sheetViews>
  <sheetFormatPr defaultRowHeight="14.4" x14ac:dyDescent="0.3"/>
  <cols>
    <col min="1" max="1" width="120" customWidth="1"/>
  </cols>
  <sheetData>
    <row r="1" spans="1:1" x14ac:dyDescent="0.3">
      <c r="A1" s="4" t="s">
        <v>261</v>
      </c>
    </row>
    <row r="3" spans="1:1" x14ac:dyDescent="0.3">
      <c r="A3" s="4" t="s">
        <v>262</v>
      </c>
    </row>
    <row r="4" spans="1:1" x14ac:dyDescent="0.3">
      <c r="A4" t="s">
        <v>263</v>
      </c>
    </row>
    <row r="5" spans="1:1" x14ac:dyDescent="0.3">
      <c r="A5" t="s">
        <v>264</v>
      </c>
    </row>
    <row r="6" spans="1:1" x14ac:dyDescent="0.3">
      <c r="A6" t="s">
        <v>265</v>
      </c>
    </row>
    <row r="7" spans="1:1" x14ac:dyDescent="0.3">
      <c r="A7" t="s">
        <v>266</v>
      </c>
    </row>
    <row r="8" spans="1:1" x14ac:dyDescent="0.3">
      <c r="A8" t="s">
        <v>267</v>
      </c>
    </row>
    <row r="10" spans="1:1" x14ac:dyDescent="0.3">
      <c r="A10" s="4" t="s">
        <v>268</v>
      </c>
    </row>
    <row r="11" spans="1:1" x14ac:dyDescent="0.3">
      <c r="A11" t="s">
        <v>269</v>
      </c>
    </row>
    <row r="12" spans="1:1" x14ac:dyDescent="0.3">
      <c r="A12" t="s">
        <v>270</v>
      </c>
    </row>
    <row r="13" spans="1:1" x14ac:dyDescent="0.3">
      <c r="A13" t="s">
        <v>271</v>
      </c>
    </row>
    <row r="14" spans="1:1" x14ac:dyDescent="0.3">
      <c r="A14" t="s">
        <v>272</v>
      </c>
    </row>
    <row r="15" spans="1:1" x14ac:dyDescent="0.3">
      <c r="A15" t="s">
        <v>273</v>
      </c>
    </row>
    <row r="17" spans="1:1" x14ac:dyDescent="0.3">
      <c r="A17" s="4" t="s">
        <v>274</v>
      </c>
    </row>
    <row r="18" spans="1:1" x14ac:dyDescent="0.3">
      <c r="A18" t="s">
        <v>275</v>
      </c>
    </row>
    <row r="19" spans="1:1" x14ac:dyDescent="0.3">
      <c r="A19" t="s">
        <v>276</v>
      </c>
    </row>
    <row r="20" spans="1:1" x14ac:dyDescent="0.3">
      <c r="A20" t="s">
        <v>277</v>
      </c>
    </row>
    <row r="21" spans="1:1" x14ac:dyDescent="0.3">
      <c r="A21" t="s">
        <v>278</v>
      </c>
    </row>
    <row r="22" spans="1:1" x14ac:dyDescent="0.3">
      <c r="A22" t="s">
        <v>279</v>
      </c>
    </row>
    <row r="24" spans="1:1" x14ac:dyDescent="0.3">
      <c r="A24" s="4" t="s">
        <v>280</v>
      </c>
    </row>
    <row r="25" spans="1:1" x14ac:dyDescent="0.3">
      <c r="A25" t="s">
        <v>281</v>
      </c>
    </row>
    <row r="26" spans="1:1" x14ac:dyDescent="0.3">
      <c r="A26" t="s">
        <v>282</v>
      </c>
    </row>
    <row r="27" spans="1:1" x14ac:dyDescent="0.3">
      <c r="A27" t="s">
        <v>283</v>
      </c>
    </row>
    <row r="28" spans="1:1" x14ac:dyDescent="0.3">
      <c r="A28" t="s">
        <v>284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20" customWidth="1"/>
  </cols>
  <sheetData>
    <row r="1" spans="1:2" x14ac:dyDescent="0.3">
      <c r="A1" s="4" t="s">
        <v>285</v>
      </c>
      <c r="B1" s="4"/>
    </row>
    <row r="2" spans="1:2" x14ac:dyDescent="0.3">
      <c r="A2" t="s">
        <v>286</v>
      </c>
      <c r="B2" t="s">
        <v>287</v>
      </c>
    </row>
    <row r="3" spans="1:2" x14ac:dyDescent="0.3">
      <c r="A3" t="s">
        <v>288</v>
      </c>
      <c r="B3" t="s">
        <v>289</v>
      </c>
    </row>
    <row r="4" spans="1:2" x14ac:dyDescent="0.3">
      <c r="A4" t="s">
        <v>290</v>
      </c>
      <c r="B4" t="s">
        <v>291</v>
      </c>
    </row>
    <row r="5" spans="1:2" x14ac:dyDescent="0.3">
      <c r="A5" t="s">
        <v>292</v>
      </c>
      <c r="B5" t="s">
        <v>293</v>
      </c>
    </row>
    <row r="6" spans="1:2" x14ac:dyDescent="0.3">
      <c r="A6" t="s">
        <v>294</v>
      </c>
      <c r="B6" t="s">
        <v>295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2004A10-7187-42D4-87CF-96974FE0ED50}"/>
</file>

<file path=customXml/itemProps2.xml><?xml version="1.0" encoding="utf-8"?>
<ds:datastoreItem xmlns:ds="http://schemas.openxmlformats.org/officeDocument/2006/customXml" ds:itemID="{12E0C955-848A-40C1-9A69-FACED3DC84DD}"/>
</file>

<file path=customXml/itemProps3.xml><?xml version="1.0" encoding="utf-8"?>
<ds:datastoreItem xmlns:ds="http://schemas.openxmlformats.org/officeDocument/2006/customXml" ds:itemID="{C9F24BE1-321D-4BFB-A197-32B49C5EC31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2026-06-30T15:38:29Z</dcterms:created>
  <dcterms:modified xsi:type="dcterms:W3CDTF">2026-06-30T17:29:36Z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