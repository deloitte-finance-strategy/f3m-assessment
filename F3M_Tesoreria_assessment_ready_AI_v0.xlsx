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Tesorería/"/>
    </mc:Choice>
  </mc:AlternateContent>
  <xr:revisionPtr revIDLastSave="0" documentId="8_{44570D32-3F35-4D53-B6D9-68CE2261754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Overlay'!$A$1:$E$21</definedName>
    <definedName name="_xlnm._FilterDatabase" localSheetId="0" hidden="1">Assessment!$A$1:$T$21</definedName>
    <definedName name="_xlnm._FilterDatabase" localSheetId="2" hidden="1">Heatmap!$A$1:$H$21</definedName>
    <definedName name="_xlnm._FilterDatabase" localSheetId="3" hidden="1">Roadmap!$A$1:$J$21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D21" i="3"/>
  <c r="C21" i="3"/>
  <c r="E20" i="3"/>
  <c r="D20" i="3"/>
  <c r="C20" i="3"/>
  <c r="E19" i="3"/>
  <c r="D19" i="3"/>
  <c r="C19" i="3"/>
  <c r="E18" i="3"/>
  <c r="D18" i="3"/>
  <c r="C18" i="3"/>
  <c r="E17" i="3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6" i="2"/>
  <c r="C6" i="2"/>
  <c r="B6" i="2"/>
  <c r="E6" i="2" s="1"/>
  <c r="F6" i="2" s="1"/>
  <c r="G6" i="2" s="1"/>
  <c r="D5" i="2"/>
  <c r="C5" i="2"/>
  <c r="B5" i="2"/>
  <c r="D4" i="2"/>
  <c r="C4" i="2"/>
  <c r="B4" i="2"/>
  <c r="E4" i="2" s="1"/>
  <c r="F4" i="2" s="1"/>
  <c r="G4" i="2" s="1"/>
  <c r="D3" i="2"/>
  <c r="C3" i="2"/>
  <c r="B3" i="2"/>
  <c r="E3" i="2" s="1"/>
  <c r="F3" i="2" s="1"/>
  <c r="G3" i="2" s="1"/>
  <c r="D2" i="2"/>
  <c r="C2" i="2"/>
  <c r="B2" i="2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C7" i="2" l="1"/>
  <c r="E5" i="2"/>
  <c r="F5" i="2" s="1"/>
  <c r="G5" i="2" s="1"/>
  <c r="D7" i="2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F18" i="3"/>
  <c r="O18" i="1"/>
  <c r="N18" i="1"/>
  <c r="F19" i="3"/>
  <c r="O19" i="1"/>
  <c r="N19" i="1"/>
  <c r="F20" i="3"/>
  <c r="O20" i="1"/>
  <c r="N20" i="1"/>
  <c r="F21" i="3"/>
  <c r="O21" i="1"/>
  <c r="N21" i="1"/>
  <c r="B7" i="2"/>
  <c r="E2" i="2"/>
  <c r="E7" i="2" l="1"/>
  <c r="F7" i="2" s="1"/>
  <c r="G7" i="2" s="1"/>
  <c r="F2" i="2"/>
  <c r="G2" i="2" s="1"/>
  <c r="C21" i="4"/>
  <c r="G21" i="4" s="1"/>
  <c r="G21" i="3"/>
  <c r="P21" i="1"/>
  <c r="C20" i="4"/>
  <c r="G20" i="4" s="1"/>
  <c r="G20" i="3"/>
  <c r="P20" i="1"/>
  <c r="C19" i="4"/>
  <c r="G19" i="4" s="1"/>
  <c r="G19" i="3"/>
  <c r="P19" i="1"/>
  <c r="C18" i="4"/>
  <c r="G18" i="4" s="1"/>
  <c r="G18" i="3"/>
  <c r="P18" i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  <c r="D18" i="4"/>
  <c r="H18" i="3"/>
  <c r="D19" i="4"/>
  <c r="H19" i="3"/>
  <c r="D20" i="4"/>
  <c r="H20" i="3"/>
  <c r="D21" i="4"/>
  <c r="H21" i="3"/>
</calcChain>
</file>

<file path=xl/sharedStrings.xml><?xml version="1.0" encoding="utf-8"?>
<sst xmlns="http://schemas.openxmlformats.org/spreadsheetml/2006/main" count="590" uniqueCount="300">
  <si>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</si>
  <si>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</si>
  <si>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</si>
  <si>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</si>
  <si>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</si>
  <si>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</si>
  <si>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</si>
  <si>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</si>
  <si>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</si>
  <si>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</si>
  <si>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</si>
  <si>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</si>
  <si>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</si>
  <si>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</si>
  <si>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</si>
  <si>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</si>
  <si>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</si>
  <si>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</si>
  <si>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</si>
  <si>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</si>
  <si>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</si>
  <si>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contable-fiscal de operaciones de tesorería</t>
  </si>
  <si>
    <t>Evaluar si las operaciones de tesorería tienen un tratamiento contable-fiscal gobernado, trazable y coordinado con cierre, fiscalidad y reporting.</t>
  </si>
  <si>
    <t>Registro contable-fiscal de operaciones de tesorería manual, reactivo y con baja trazabilidad de criterios y aprobaciones.</t>
  </si>
  <si>
    <t>Criterios básicos definidos para operaciones relevantes, aunque con revisiones manuales y variabilidad entre entidades.</t>
  </si>
  <si>
    <t>Políticas documentadas para tratamiento contable-fiscal de instrumentos, intereses, retenciones, comisiones y ajustes de tesorería.</t>
  </si>
  <si>
    <t>Proceso integrado con cierre, fiscalidad, reporting y controles automáticos, con revisión periódica de criterios y excepciones.</t>
  </si>
  <si>
    <t>Modelo AI-enabled que detecta tratamientos anómalos, sugiere clasificaciones contable-fiscales y explica variaciones de resultados financieros.</t>
  </si>
  <si>
    <t>Accurate tax report generation; Identify inconsistencies in master data records; Generate account variance analysis and intelligent explanations</t>
  </si>
  <si>
    <t>¿Existen políticas contable-fiscales para operaciones de tesorería?
¿Se revisan tratamientos de intereses, retenciones y comisiones?
¿Se conectan con cierre y reporting?
¿Hay trazabilidad de ajustes?</t>
  </si>
  <si>
    <t>Políticas contables/fiscales; registros de operaciones; conciliaciones; evidencias de revisión; workpapers; reporting financiero.</t>
  </si>
  <si>
    <t>Definir gobierno contable-fiscal de tesorería con políticas, controles, trazabilidad, owners y revisión recurrente de excepciones.</t>
  </si>
  <si>
    <t>1.2 Registro, conciliación y devengo de intereses y comisiones</t>
  </si>
  <si>
    <t>Evaluar la calidad del registro, devengo, conciliación y explicación de intereses, comisiones y gastos financieros.</t>
  </si>
  <si>
    <t>Devengos y registros manuales, con conciliaciones puntuales y dependencia de hojas de cálculo.</t>
  </si>
  <si>
    <t>Plantillas recurrentes para devengos y conciliaciones, aunque con controles manuales y baja automatización.</t>
  </si>
  <si>
    <t>Modelo estándar de devengos y conciliaciones con reglas, calendarios, fuentes, soportes y responsables definidos.</t>
  </si>
  <si>
    <t>Devengos integrados con contratos, bancos, deuda, cierre y reporting, con controles automáticos y explicación de variaciones.</t>
  </si>
  <si>
    <t>AI identifica devengos esperados, detecta omisiones o anomalías y genera explicaciones inteligentes de variaciones financieras.</t>
  </si>
  <si>
    <t>Identify missing monthly accruals based on historic trends; Generate account variance analysis and intelligent explanations; Reconcile account balances at transaction level</t>
  </si>
  <si>
    <t>¿Se registran devengos de forma sistemática?
¿Se concilian intereses y comisiones con bancos/contratos?
¿Se explican variaciones?
¿Se detectan omisiones?</t>
  </si>
  <si>
    <t>Contratos financieros; extractos bancarios; cálculos de intereses; conciliaciones; asientos; reportes de variación; evidencias de aprobación.</t>
  </si>
  <si>
    <t>Implantar modelo de devengo y conciliación de intereses/comisiones con reglas, fuentes oficiales, controles y alertas de omisiones.</t>
  </si>
  <si>
    <t>1.3 Calidad del dato maestro financiero y bancario</t>
  </si>
  <si>
    <t>Evaluar si los datos maestros financieros y bancarios son fiables, completos, actualizados y gobernados.</t>
  </si>
  <si>
    <t>Maestros bancarios y financieros gestionados manualmente, con duplicidades, inconsistencias y controles limitados.</t>
  </si>
  <si>
    <t>Controles básicos de actualización y validación, aunque con workflow parcial y visibilidad limitada de calidad del dato.</t>
  </si>
  <si>
    <t>Modelo de gobierno de datos maestros financieros con owners, reglas, aprobaciones, controles y auditoría de cambios.</t>
  </si>
  <si>
    <t>Gobierno integrado con bancos, ERP, TMS, pagos, deuda y reporting, con controles automáticos y gestión de incidencias.</t>
  </si>
  <si>
    <t>AI detecta inconsistencias en datos maestros, propone remediación y guía workflows adaptativos de cambios financieros/bancarios.</t>
  </si>
  <si>
    <t>Identify inconsistencies in master data records; Guided adaptable workflows for master data record changes; Generate metadata documentation</t>
  </si>
  <si>
    <t>¿Existen owners de datos maestros bancarios?
¿Se controlan altas/cambios?
¿Hay auditoría de cambios?
¿Se mide calidad de dato?</t>
  </si>
  <si>
    <t>Maestros bancarios; workflows de alta/cambio; logs; controles de calidad; incidencias; aprobaciones; políticas de datos.</t>
  </si>
  <si>
    <t>Implantar gobierno de master data financiero/bancario con owners, workflow, controles automáticos, trazabilidad y gestión de incidencias.</t>
  </si>
  <si>
    <t>1.4 Reporting financiero de resultados de tesorería</t>
  </si>
  <si>
    <t>Evaluar si los resultados financieros de tesorería se reportan de forma clara, oportuna y explicable para dirección y cierre.</t>
  </si>
  <si>
    <t>Reporting de resultados financieros manual, agregado y orientado al cierre, con baja explicación de drivers.</t>
  </si>
  <si>
    <t>Reporting recurrente de gastos/ingresos financieros, aunque con narrativa limitada y análisis manual.</t>
  </si>
  <si>
    <t>Reporting estándar con KPIs, variaciones, drivers, posiciones, coste financiero y comentarios ejecutivos.</t>
  </si>
  <si>
    <t>Reporting integrado con deuda, liquidez, inversiones, riesgos financieros, forecast y acciones de gestión.</t>
  </si>
  <si>
    <t>Reporting AI-enabled con narrativa automática, explicación de drivers, alertas tempranas y recomendaciones sobre coste financiero y liquidez.</t>
  </si>
  <si>
    <t>Generate executive level overview of company financial health; Generate account variance analysis and intelligent explanations; FinanceAI Insights Platform</t>
  </si>
  <si>
    <t>¿Se reportan resultados financieros de tesorería?
¿Se explican drivers de variación?
¿Se conectan con liquidez, deuda y riesgos?
¿Se generan acciones?</t>
  </si>
  <si>
    <t>Reporting de tesorería; análisis de variaciones; KPIs de coste financiero; comité financiero; forecast; acciones de gestión.</t>
  </si>
  <si>
    <t>Crear reporting financiero de tesorería con drivers, KPIs, narrativa ejecutiva, conexión con forecast y recomendaciones de acción.</t>
  </si>
  <si>
    <t>Gestión de riesgos financieros</t>
  </si>
  <si>
    <t>2.1 Marco de gestión de riesgos financieros y políticas</t>
  </si>
  <si>
    <t>Evaluar si existe un marco formal para identificar, medir, limitar y gobernar riesgos financieros: FX, tipos, crédito, liquidez y contraparte.</t>
  </si>
  <si>
    <t>Riesgos financieros gestionados de forma reactiva, con políticas incompletas y límites poco formalizados.</t>
  </si>
  <si>
    <t>Políticas básicas y límites para riesgos principales, aunque con seguimiento manual y cobertura parcial.</t>
  </si>
  <si>
    <t>Marco de gestión de riesgos financieros documentado con apetito, límites, roles, métricas, aprobaciones y reporting.</t>
  </si>
  <si>
    <t>Gestión integrada con posiciones, exposiciones, coberturas, escenarios, límites y comités de seguimiento.</t>
  </si>
  <si>
    <t>Modelo AI-enabled que monitoriza exposiciones, detecta desviaciones frente a límites y recomienda acciones de cobertura o mitigación.</t>
  </si>
  <si>
    <t>Optimize foreign exchange operations by evaluating foreign exchange data and identifying patterns and trends to reduce financial risks; AI agents for credit underwriting; Predictive compliance monitoring</t>
  </si>
  <si>
    <t>¿Existe política de riesgos financieros?
¿Se definen límites y apetito de riesgo?
¿Se monitorizan exposiciones?
¿Hay reporting a comité?</t>
  </si>
  <si>
    <t>Política de riesgos; límites; exposiciones; reportes de comité; aprobaciones; métricas VaR/sensibilidad; excepciones.</t>
  </si>
  <si>
    <t>Definir marco integral de riesgos financieros con políticas, límites, métricas, reporting, governance y workflow de excepciones.</t>
  </si>
  <si>
    <t>2.2 Medición y cobertura de riesgo de divisa</t>
  </si>
  <si>
    <t>Evaluar la capacidad para identificar, medir, forecastar y cubrir exposiciones de divisa de forma alineada con política y negocio.</t>
  </si>
  <si>
    <t>Exposición FX identificada parcialmente y gestionada mediante análisis manual o coberturas puntuales.</t>
  </si>
  <si>
    <t>Forecast de exposición y coberturas básicas, aunque con baja integración con presupuesto, ventas/compras o cash forecast.</t>
  </si>
  <si>
    <t>Modelo estándar de exposición FX con fuentes, periodicidad, sensibilidad, instrumentos, aprobaciones y reporting.</t>
  </si>
  <si>
    <t>Gestión integrada de FX con forecast, operaciones, posiciones, escenarios, límites, efectividad de cobertura y contabilidad.</t>
  </si>
  <si>
    <t>AI identifica patrones FX, anticipa exposición, simula escenarios y recomienda estrategias de cobertura según riesgo, coste y política.</t>
  </si>
  <si>
    <t>Optimize foreign exchange operations by evaluating foreign exchange data and identifying patterns and trends to reduce financial risks; Predictive Analysis + GenAI; Generate investing strategies</t>
  </si>
  <si>
    <t>¿Se mide exposición FX por moneda y horizonte?
¿Se conecta con forecast y operaciones?
¿Se evalúa efectividad de coberturas?
¿Se simulan escenarios?</t>
  </si>
  <si>
    <t>Mapa de exposición FX; forecast por moneda; contratos de cobertura; sensibilidad; hedge effectiveness; reporting de límites.</t>
  </si>
  <si>
    <t>Implantar modelo de gestión FX con forecast de exposición, límites, escenarios, tracking de coberturas y recomendaciones de mitigación.</t>
  </si>
  <si>
    <t>2.3 Gestión de riesgo de tipos, contraparte y crédito financiero</t>
  </si>
  <si>
    <t>Evaluar si la organización mide y gestiona riesgo de tipo de interés, contraparte, crédito financiero y exposición con entidades financieras.</t>
  </si>
  <si>
    <t>Riesgos de tipo, contraparte o crédito financiero gestionados de forma puntual, con visibilidad limitada de exposición consolidada.</t>
  </si>
  <si>
    <t>Seguimiento básico de deuda, tipos y contrapartes principales, aunque con análisis manual y límites parciales.</t>
  </si>
  <si>
    <t>Modelo definido de exposición a tipos/contrapartes con métricas, límites, ratings, sensibilidad y políticas de diversificación.</t>
  </si>
  <si>
    <t>Gestión integrada con deuda, inversiones, bancos, derivados, límites, escenarios macro y decisiones de financiación/inversión.</t>
  </si>
  <si>
    <t>AI calcula sensibilidades, anticipa cambios de riesgo, alerta sobre límites y recomienda acciones de refinanciación, cobertura o diversificación.</t>
  </si>
  <si>
    <t>AI agents for credit underwriting; Predictive company valuation analyzing financial data; Grid and energy efficiency optimization</t>
  </si>
  <si>
    <t>¿Se mide sensibilidad a tipos?
¿Existen límites por contraparte?
¿Se monitorizan ratings y concentración?
¿Se conectan riesgos con deuda/inversiones?</t>
  </si>
  <si>
    <t>Mapa de contrapartes; ratings; límites; sensibilidad a tipos; cartera de deuda; derivados; reportes de concentración.</t>
  </si>
  <si>
    <t>Diseñar modelo de gestión de riesgo de tipos y contraparte con límites, sensibilidad, escenarios, alertas y decisiones de cobertura/diversificación.</t>
  </si>
  <si>
    <t>2.4 Escenarios, stress testing y reporting de riesgos financieros</t>
  </si>
  <si>
    <t>Evaluar si Tesorería realiza escenarios y stress tests para anticipar impactos financieros y tomar decisiones preventivas.</t>
  </si>
  <si>
    <t>Escenarios financieros puntuales o cualitativos, con baja conexión con decisiones de liquidez, deuda o cobertura.</t>
  </si>
  <si>
    <t>Stress testing básico para riesgos relevantes, con supuestos manuales y reporting limitado.</t>
  </si>
  <si>
    <t>Metodología de escenarios financieros con variables, supuestos, sensibilidad, impactos y revisión periódica.</t>
  </si>
  <si>
    <t>Stress testing integrado con cash forecast, deuda, covenants, FX, tipos, liquidez, capital allocation y comités.</t>
  </si>
  <si>
    <t>AI simula escenarios dinámicos, identifica early warnings, estima impactos y recomienda respuestas financieras preventivas.</t>
  </si>
  <si>
    <t>Predictive cash flow forecasting tool; Optimize foreign exchange operations; Identify past data patterns to predict and improve future financial performance</t>
  </si>
  <si>
    <t>¿Se realizan stress tests financieros?
¿Se cuantifican impactos en liquidez/deuda/covenants?
¿Se conectan con decisiones de cobertura?
¿Hay alertas tempranas?</t>
  </si>
  <si>
    <t>Modelos de escenarios; supuestos macro; sensibilidad; reportes de stress; actas de comité; decisiones preventivas.</t>
  </si>
  <si>
    <t>Crear framework de stress testing financiero con variables clave, impactos, alertas y planes de respuesta.</t>
  </si>
  <si>
    <t>Mercados de deuda y capitales</t>
  </si>
  <si>
    <t>3.1 Estrategia de financiación y estructura de capital</t>
  </si>
  <si>
    <t>Evaluar si existe una estrategia de financiación alineada con estructura de capital, liquidez, coste, riesgo y objetivos corporativos.</t>
  </si>
  <si>
    <t>Financiación gestionada de forma reactiva ante necesidades puntuales, con baja planificación de estructura de capital.</t>
  </si>
  <si>
    <t>Plan de financiación básico con análisis de deuda existente y necesidades previsibles, aunque con escenarios limitados.</t>
  </si>
  <si>
    <t>Estrategia de financiación definida con objetivos de estructura de capital, coste, vencimientos, liquidez, covenants y rating.</t>
  </si>
  <si>
    <t>Estrategia integrada con plan estratégico, cash forecast, inversiones, mercado, riesgos financieros y capital allocation.</t>
  </si>
  <si>
    <t>AI recomienda estrategias de financiación considerando mercado, coste de capital, rating, liquidez, escenarios y objetivos corporativos.</t>
  </si>
  <si>
    <t>Generate investing strategies from consolidated market conditions, internal financial performance, and firm objectives; Predictive company valuation analyzing financial data; Generate executive level overview of company financial health</t>
  </si>
  <si>
    <t>¿Existe estrategia de financiación?
¿Se define estructura objetivo de capital?
¿Se analizan vencimientos y coste?
¿Se incorpora mercado y rating?</t>
  </si>
  <si>
    <t>Plan de financiación; estructura de capital; vencimientos; coste de deuda; rating/covenants; actas de comité; escenarios.</t>
  </si>
  <si>
    <t>Definir estrategia de financiación y estructura de capital con escenarios, vencimientos, coste, covenants, rating y conexión con plan estratégico.</t>
  </si>
  <si>
    <t>3.2 Gestión de deuda, covenants y relación con financiadores</t>
  </si>
  <si>
    <t>Evaluar la gestión operativa y estratégica de deuda, covenants, financiación bancaria y relación con entidades financieras.</t>
  </si>
  <si>
    <t>Deuda y covenants gestionados manualmente, con seguimiento disperso y baja anticipación de riesgos de incumplimiento.</t>
  </si>
  <si>
    <t>Seguimiento básico de deuda, amortizaciones y covenants, aunque con reporting manual y documentación dispersa.</t>
  </si>
  <si>
    <t>Modelo estándar de gestión de deuda con calendario, contratos, covenants, costes, responsables y reporting periódico.</t>
  </si>
  <si>
    <t>Gestión integrada en TMS/ERP con alertas, escenarios, covenant forecasting, relación bancaria y control de documentación.</t>
  </si>
  <si>
    <t>AI anticipa riesgos de covenant, recomienda acciones de refinanciación y sintetiza documentación financiera para financiadores.</t>
  </si>
  <si>
    <t>Generate executive level overview of company financial health; Predictive cash flow forecasting tool; Research-based report generation / KYC</t>
  </si>
  <si>
    <t>¿Se monitorizan covenants y vencimientos?
¿Hay relación estructurada con financiadores?
¿Se anticipan necesidades de refinanciación?
¿Se controla documentación?</t>
  </si>
  <si>
    <t>Contratos de deuda; covenant tracker; calendario de vencimientos; reportes a bancos; actas; forecasts; documentación financiera.</t>
  </si>
  <si>
    <t>Implantar gestión integrada de deuda con covenant tracking, alertas, forecast, repositorio documental y estrategia de relación bancaria.</t>
  </si>
  <si>
    <t>3.3 Acceso a mercados, instrumentos y ejecución de operaciones</t>
  </si>
  <si>
    <t>Evaluar la capacidad para evaluar, seleccionar y ejecutar instrumentos de deuda/capital de acuerdo con necesidades financieras y condiciones de mercado.</t>
  </si>
  <si>
    <t>Selección de instrumentos financiera caso a caso, con análisis limitado de alternativas, costes, riesgos y ejecución.</t>
  </si>
  <si>
    <t>Comparativas básicas entre fuentes de financiación, aunque con criterios poco homogéneos y dependencia de asesores externos.</t>
  </si>
  <si>
    <t>Metodología de evaluación de instrumentos con coste, riesgo, vencimiento, flexibilidad, covenants, mercado y proceso de aprobación.</t>
  </si>
  <si>
    <t>Ejecución integrada con estrategia de financiación, ventanas de mercado, rating, inversores, bancos, riesgos y reporting de operación.</t>
  </si>
  <si>
    <t>AI analiza condiciones de mercado, simula alternativas de instrumentos y recomienda timing, estructura y fuentes óptimas de financiación.</t>
  </si>
  <si>
    <t>AI agents for algorithmic trading and market simulation; Generate investing strategies; Predictive company valuation analyzing financial data</t>
  </si>
  <si>
    <t>¿Se comparan fuentes e instrumentos?
¿Se analizan coste, riesgo y flexibilidad?
¿Se evalúan ventanas de mercado?
¿Existe proceso de aprobación?</t>
  </si>
  <si>
    <t>Análisis de alternativas; term sheets; comparativas de coste; aprobaciones; rating; investor/bank materials; documentación de operación.</t>
  </si>
  <si>
    <t>Crear metodología de evaluación y ejecución de instrumentos financieros con escenarios de mercado, coste/riesgo, approvals y lessons learned.</t>
  </si>
  <si>
    <t>3.4 Reporting de capital markets e inteligencia de financiación</t>
  </si>
  <si>
    <t>Evaluar si Tesorería monitoriza mercados, condiciones financieras, apetito inversor/bancario y oportunidades de financiación.</t>
  </si>
  <si>
    <t>Monitorización de mercados puntual y manual, con baja sistematización de señales y oportunidades.</t>
  </si>
  <si>
    <t>Seguimiento básico de tipos, spreads y noticias de mercado, aunque con análisis irregular y baja conexión con decisiones.</t>
  </si>
  <si>
    <t>Market intelligence financiero con fuentes, indicadores, benchmarks, reporting periódico y responsables.</t>
  </si>
  <si>
    <t>Inteligencia integrada con estrategia de financiación, deuda, inversión, riesgos, escenarios y decisiones de timing.</t>
  </si>
  <si>
    <t>AI sintetiza señales de mercado, detecta oportunidades de financiación, genera alertas y recomienda acciones de capital markets.</t>
  </si>
  <si>
    <t>Next-level market intelligence; Generate investing strategies; AI agents for algorithmic trading and market simulation</t>
  </si>
  <si>
    <t>¿Se monitorizan mercados de deuda/capitales?
¿Existen benchmarks y señales clave?
¿Se conecta con decisiones de financiación?
¿Se generan alertas?</t>
  </si>
  <si>
    <t>Reportes de mercado; benchmarks; curvas de tipos; spreads; actas de comité; recomendaciones de financiación; alertas.</t>
  </si>
  <si>
    <t>Implantar capital markets intelligence con fuentes, indicadores, alertas, benchmarks y conexión con estrategia de financiación.</t>
  </si>
  <si>
    <t>Gestión de cash flow y reporte</t>
  </si>
  <si>
    <t>4.1 Gobierno y modelo de cash forecasting</t>
  </si>
  <si>
    <t>Evaluar si existe un proceso formal para forecastar caja, con calendario, responsables, metodología, fuentes y revisión de calidad.</t>
  </si>
  <si>
    <t>Cash forecast manual, poco frecuente, con baja fiabilidad y dependencia de inputs no homogéneos.</t>
  </si>
  <si>
    <t>Forecast básico con periodicidad definida, aunque con inputs manuales, baja integración y análisis limitado de desviaciones.</t>
  </si>
  <si>
    <t>Modelo estándar de cash forecasting con metodología, fuentes, owners, horizonte, granularidad y control de calidad.</t>
  </si>
  <si>
    <t>Forecast integrado con ERP/TMS, presupuesto, ventas, compras, deuda, working capital, escenarios y revisión de desviaciones.</t>
  </si>
  <si>
    <t>Cash forecasting predictivo AI-enabled con aprendizaje histórico, señales operativas, escenarios dinámicos y recomendaciones de acción.</t>
  </si>
  <si>
    <t>Predictive cash flow forecasting tool; Enhance cash flow analysis, minimizing liquidity risks, improving forecasting accuracy, and maximizing returns on cash holdings; Intraday liquidity optimization</t>
  </si>
  <si>
    <t>¿Existe metodología formal de cash forecast?
¿Quién provee inputs y con qué frecuencia?
¿Se mide precisión del forecast?
¿Se analizan desviaciones?</t>
  </si>
  <si>
    <t>Modelo de forecast; calendario; inputs; histórico de precisión; desviaciones; TMS/ERP; comités de liquidez.</t>
  </si>
  <si>
    <t>Implantar modelo de cash forecasting con metodología, owners, integración de fuentes, medición de precisión y escenarios.</t>
  </si>
  <si>
    <t>4.2 Posición de liquidez y visibilidad bancaria</t>
  </si>
  <si>
    <t>Evaluar si Tesorería dispone de visibilidad oportuna y fiable de posiciones bancarias, liquidez disponible y restricciones.</t>
  </si>
  <si>
    <t>Visibilidad de caja dispersa, manual y tardía, con dependencia de extractos y bancos individuales.</t>
  </si>
  <si>
    <t>Consolidación básica de posiciones bancarias, aunque con baja automatización e información incompleta sobre restricciones.</t>
  </si>
  <si>
    <t>Modelo de posición de liquidez con bancos, divisas, cuentas, disponibilidad, restricciones, responsables y reporting diario/recurrente.</t>
  </si>
  <si>
    <t>Visibilidad integrada e intradía con TMS/bancos, cash pooling, límites, alertas y conciliación automatizada.</t>
  </si>
  <si>
    <t>AI optimiza liquidez intradía, anticipa necesidades, detecta saldos ociosos/restricciones y recomienda movimientos o inversiones.</t>
  </si>
  <si>
    <t>Intraday liquidity optimization; Enhance cash flow analysis, minimizing liquidity risks; Data access for all</t>
  </si>
  <si>
    <t>¿Existe visibilidad diaria/intradía de caja?
¿Se identifican restricciones de liquidez?
¿Hay integración bancaria/TMS?
¿Se optimizan saldos?</t>
  </si>
  <si>
    <t>Reportes de posición; extractos bancarios; TMS; cash pooling; saldos por divisa; restricciones; alertas; conciliaciones.</t>
  </si>
  <si>
    <t>Implantar visibilidad integrada de liquidez con conexiones bancarias, cash pooling, alertas y análisis de saldos disponibles/restringidos.</t>
  </si>
  <si>
    <t>4.3 Gestión de liquidez, working capital y decisiones de caja</t>
  </si>
  <si>
    <t>Evaluar si Tesorería optimiza liquidez y working capital conectando caja, cobros, pagos, inventarios, deuda e inversiones.</t>
  </si>
  <si>
    <t>Decisiones de caja reactivas, con baja conexión con working capital, pagos/cobros, deuda o inversiones.</t>
  </si>
  <si>
    <t>Seguimiento básico de liquidez y working capital, aunque con acciones manuales y baja priorización por impacto.</t>
  </si>
  <si>
    <t>KPIs de liquidez y working capital definidos, con rutinas de seguimiento, owners y acciones de mejora.</t>
  </si>
  <si>
    <t>Gestión integrada de liquidez con O2C/P2P, forecast, deuda, inversiones, pagos, cobros, DSO/DPO/DIO y escenarios.</t>
  </si>
  <si>
    <t>AI recomienda términos de pago/cobro, timing óptimo, acciones sobre working capital e inversiones de excedentes según liquidez y riesgo.</t>
  </si>
  <si>
    <t>Recommend optimal payment terms to improve DSO; Recommend most optimal payment timing; Dynamic inventory management</t>
  </si>
  <si>
    <t>¿Se conectan liquidez y working capital?
¿Se gestionan DSO/DPO/DIO?
¿Se priorizan pagos/cobros por impacto?
¿Se recomiendan acciones de caja?</t>
  </si>
  <si>
    <t>KPIs working capital; aging; pagos; cobros; inventario; cash forecast; acciones de mejora; comités de cash.</t>
  </si>
  <si>
    <t>Crear modelo de optimización de liquidez y working capital con KPIs, escenarios, acciones y recomendaciones de cobro/pago/inventario.</t>
  </si>
  <si>
    <t>4.4 Reporting de tesorería y rutinas de gestión de liquidez</t>
  </si>
  <si>
    <t>Evaluar si el reporting de tesorería genera decisiones, seguimiento de acciones y control de riesgos de liquidez.</t>
  </si>
  <si>
    <t>Reporting de tesorería principalmente descriptivo, manual y sin rutina formal de decisión o seguimiento de acciones.</t>
  </si>
  <si>
    <t>Reporting recurrente de caja y deuda, aunque con narrativa limitada y acciones poco trazadas.</t>
  </si>
  <si>
    <t>Pack de tesorería estándar con posición, forecast, desviaciones, deuda, riesgos, KPIs, owners y acciones.</t>
  </si>
  <si>
    <t>Rutinas integradas de liquidez con comité, decisiones, seguimiento de acciones, alertas, escenarios y beneficios esperados.</t>
  </si>
  <si>
    <t>Reporting AI-enabled con narrativa ejecutiva, alertas, explicación de desviaciones, escenarios y recomendaciones de liquidez.</t>
  </si>
  <si>
    <t>Generate executive level overview of company financial health; FinanceAI Insights Platform; Generate account variance analysis and intelligent explanations</t>
  </si>
  <si>
    <t>¿Existe pack de tesorería?
¿Se revisa en comités?
¿Se documentan decisiones y acciones?
¿Se reportan riesgos de liquidez?</t>
  </si>
  <si>
    <t>Pack de tesorería; actas de comité; KPIs; forecast; tracker de acciones; escenarios; reportes de desviación.</t>
  </si>
  <si>
    <t>Formalizar reporting y rutinas de liquidez con pack estándar, decisiones, actions tracker, escenarios y recomendaciones ejecutivas.</t>
  </si>
  <si>
    <t>Inversiones</t>
  </si>
  <si>
    <t>5.1 Política de inversiones y gobierno de excedentes</t>
  </si>
  <si>
    <t>Evaluar si existe una política para invertir excedentes de caja alineada con liquidez, seguridad, rentabilidad, riesgo y cumplimiento.</t>
  </si>
  <si>
    <t>Decisiones de inversión de excedentes puntuales, con política limitada y baja trazabilidad de criterios de riesgo/rentabilidad.</t>
  </si>
  <si>
    <t>Política básica de inversiones, aunque con límites parciales, seguimiento manual y revisión poco frecuente.</t>
  </si>
  <si>
    <t>Política de inversiones definida con objetivos, instrumentos permitidos, límites, contrapartes, liquidez, aprobaciones y reporting.</t>
  </si>
  <si>
    <t>Gobierno integrado con cash forecast, riesgos financieros, límites de contraparte, escenarios, compliance y revisión periódica de performance.</t>
  </si>
  <si>
    <t>AI recomienda asignación de excedentes considerando liquidez futura, retorno, riesgo, límites, mercado y restricciones corporativas.</t>
  </si>
  <si>
    <t>Enhance cash flow analysis, minimizing liquidity risks, improving forecasting accuracy, and maximizing returns on cash holdings; Generate investing strategies; Predictive cash flow forecasting tool</t>
  </si>
  <si>
    <t>¿Existe política de inversiones?
¿Se definen límites e instrumentos?
¿Se conecta con liquidez futura?
¿Se reporta rentabilidad y riesgo?</t>
  </si>
  <si>
    <t>Política de inversiones; cartera; límites; aprobaciones; reportes de rentabilidad; cash forecast; rating contrapartes.</t>
  </si>
  <si>
    <t>Definir política y gobierno de inversiones de excedentes con límites, instrumentos, contrapartes, liquidez, reporting y revisión periódica.</t>
  </si>
  <si>
    <t>5.2 Gestión de cartera, rentabilidad y riesgo de inversiones</t>
  </si>
  <si>
    <t>Evaluar si la cartera de inversiones se gestiona con visibilidad de rentabilidad, riesgo, liquidez, vencimientos y concentración.</t>
  </si>
  <si>
    <t>Cartera de inversiones monitorizada manualmente, con baja visibilidad agregada de riesgo, rendimiento y liquidez.</t>
  </si>
  <si>
    <t>Seguimiento básico de inversiones y vencimientos, aunque con análisis limitado de rendimiento ajustado por riesgo.</t>
  </si>
  <si>
    <t>Modelo estándar de cartera con valoración, rendimiento, vencimientos, liquidez, límites, contrapartes y reporting periódico.</t>
  </si>
  <si>
    <t>Gestión integrada con mercado, cash forecast, riesgos, accounting, compliance y decisiones de reinversión/desinversión.</t>
  </si>
  <si>
    <t>AI analiza rendimiento y riesgo, detecta concentración o desviaciones y recomienda rebalanceo o reinversión según escenarios.</t>
  </si>
  <si>
    <t>Generate investing strategies; Enhance cash flow analysis; AI agents for algorithmic trading and market simulation</t>
  </si>
  <si>
    <t>¿Se monitoriza rentabilidad y riesgo de la cartera?
¿Se controlan vencimientos y concentración?
¿Se conecta con liquidez y mercado?
¿Se revisa rebalanceo?</t>
  </si>
  <si>
    <t>Cartera de inversiones; valoración; rendimientos; vencimientos; límites; ratings; reportes de riesgo; decisiones de rebalanceo.</t>
  </si>
  <si>
    <t>Implantar gestión de cartera con rentabilidad ajustada por riesgo, vencimientos, límites, concentración y recomendaciones de reinversión.</t>
  </si>
  <si>
    <t>5.3 Integración de inversiones con liquidez y planificación financiera</t>
  </si>
  <si>
    <t>Evaluar si las decisiones de inversión se integran con necesidades futuras de caja, deuda, capital allocation y escenarios financieros.</t>
  </si>
  <si>
    <t>Inversiones gestionadas de forma separada del cash forecast y planificación financiera, con riesgo de desalineación de liquidez.</t>
  </si>
  <si>
    <t>Coordinación básica con liquidez esperada, aunque con escenarios limitados y revisión manual.</t>
  </si>
  <si>
    <t>Proceso definido para conectar inversiones con cash forecast, horizonte de liquidez, vencimientos, deuda y restricciones.</t>
  </si>
  <si>
    <t>Integración completa con planificación financiera, estructura de capital, riesgos, escenarios, inversiones operativas y capital allocation.</t>
  </si>
  <si>
    <t>AI simula liquidez futura, necesidades de financiación y oportunidades de inversión, recomendando asignación óptima de excedentes.</t>
  </si>
  <si>
    <t>Predictive cash flow forecasting tool; Generate investing strategies; Identify past data patterns to predict and improve future financial performance</t>
  </si>
  <si>
    <t>¿Las inversiones se conectan con cash forecast?
¿Se consideran necesidades futuras de liquidez?
¿Se evalúan escenarios?
¿Se alinea con deuda/capital allocation?</t>
  </si>
  <si>
    <t>Cash forecast; plan financiero; cartera de inversiones; vencimientos; escenarios; decisiones de inversión/desinversión; comités.</t>
  </si>
  <si>
    <t>Diseñar proceso integrado de inversiones y liquidez con escenarios, restricciones, vencimientos, necesidades futuras y capital allocation.</t>
  </si>
  <si>
    <t>5.4 Reporting, cumplimiento y control de inversiones</t>
  </si>
  <si>
    <t>Evaluar si las inversiones se reportan y controlan con criterios de cumplimiento, límites, performance, riesgos y evidencias de decisión.</t>
  </si>
  <si>
    <t>Reporting de inversiones manual y disperso, con baja trazabilidad de decisiones, límites y cumplimiento de política.</t>
  </si>
  <si>
    <t>Reportes periódicos básicos, aunque con controles manuales de límites y documentación parcial.</t>
  </si>
  <si>
    <t>Reporting estándar de inversiones con rentabilidad, riesgo, límites, cumplimiento, vencimientos, contrapartes y aprobaciones.</t>
  </si>
  <si>
    <t>Control integrado con workflows, alertas de límites, evidencias, accounting, compliance y revisión de performance.</t>
  </si>
  <si>
    <t>AI genera reporting ejecutivo, detecta incumplimientos potenciales, explica variaciones y recomienda acciones correctivas.</t>
  </si>
  <si>
    <t>Generate executive level overview of company financial health; FinanceAI Insights Platform; Predictive compliance monitoring</t>
  </si>
  <si>
    <t>¿Se reporta cumplimiento de política?
¿Se controlan límites y excepciones?
¿Se documentan decisiones?
¿Se explica performance?</t>
  </si>
  <si>
    <t>Reporting de inversiones; policy compliance; excepciones; aprobaciones; logs; actas de comité; análisis de rendimiento/riesgo.</t>
  </si>
  <si>
    <t>Crear reporting y control de inversiones con límites, evidencias, alertas, performance, compliance y decisiones trazables.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</si>
  <si>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</si>
  <si>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</si>
  <si>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</si>
  <si>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</si>
  <si>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</si>
  <si>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</si>
  <si>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</si>
  <si>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</si>
  <si>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</si>
  <si>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</si>
  <si>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</si>
  <si>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</si>
  <si>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</si>
  <si>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</si>
  <si>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</si>
  <si>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</si>
  <si>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</si>
  <si>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</si>
  <si>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</si>
  <si>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</si>
  <si>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</si>
  <si>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</si>
  <si>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</si>
  <si>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</si>
  <si>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</si>
  <si>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</si>
  <si>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</si>
  <si>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</si>
  <si>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</si>
  <si>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</si>
  <si>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</si>
  <si>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</si>
  <si>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</si>
  <si>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</si>
  <si>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gestión de liquidez, riesgos financieros, mercados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</si>
  <si>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</si>
  <si>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</si>
  <si>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</si>
  <si>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</si>
  <si>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</si>
  <si>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</si>
  <si>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</si>
  <si>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</si>
  <si>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</si>
  <si>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Tesorería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</si>
  <si>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</si>
  <si>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</si>
  <si>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</si>
  <si>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Tesorería: Contabilidad y provisión fiscal, Gestión de riesgos financieros, Mercados de deuda y capitales, Gestión de cash flow y reporte e Inversiones.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</si>
  <si>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</si>
  <si>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predictivo, AI-enabled y orientado a liquidez, riesgo y valor.</t>
  </si>
  <si>
    <t>AI Overlay</t>
  </si>
  <si>
    <t>Los casos de uso AI se han mapeado desde F3M_AI_Mapping_Consolidado_v1.xlsx. En capacidades con cobertura limitada se han usado casos por analogía funcional, especialmente para reporting financiero y datos maestros de tesorería.</t>
  </si>
  <si>
    <t>Buenas prácticas</t>
  </si>
  <si>
    <t>Evaluar situación actual, sustentar el score con evidencias, separar las tres palancas, validar resultados con responsables de Tesorería y preservar la conexión entre liquidez, riesgos, financiación e inversiones.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</si>
</sst>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Contabilidad y provisión fiscal</c:v>
                </c:pt>
                <c:pt idx="1">
                  <c:v>Gestión de riesgos financieros</c:v>
                </c:pt>
                <c:pt idx="2">
                  <c:v>Mercados de deuda y capitales</c:v>
                </c:pt>
                <c:pt idx="3">
                  <c:v>Gestión de cash flow y reporte</c:v>
                </c:pt>
                <c:pt idx="4">
                  <c:v>Inversiones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3-4073-B794-45176F6D07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1"/>
  <sheetViews>
    <sheetView tabSelected="1" workbookViewId="0">
      <pane ySplit="1" topLeftCell="A18" activePane="bottomLeft" state="frozen"/>
      <selection pane="bottomLeft" activeCell="A22" sqref="A22"/>
    </sheetView>
  </sheetViews>
  <sheetFormatPr defaultRowHeight="14.4" x14ac:dyDescent="0.3"/>
  <cols>
    <col min="1" max="1" width="34" customWidth="1"/>
    <col min="2" max="2" width="50" customWidth="1"/>
    <col min="3" max="7" width="56" customWidth="1"/>
    <col min="8" max="9" width="60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1" si="0">IF(COUNT(J2:L2)=0,"",ROUND(AVERAGE(J2:L2),0))</f>
        <v/>
      </c>
      <c r="N2" s="2" t="str">
        <f t="shared" ref="N2:N21" si="1">IF(M2="","",CHOOSE(M2,"1 - Inicial","2 - Estructurado","3 - Estandarizado","4 - Optimizado","5 - Avanzado/Referente"))</f>
        <v/>
      </c>
      <c r="O2" s="2" t="str">
        <f t="shared" ref="O2:O21" si="2">IF(M2="","",MAX(0,4-M2))</f>
        <v/>
      </c>
      <c r="P2" s="2" t="str">
        <f t="shared" ref="P2:P21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84.9" customHeight="1" x14ac:dyDescent="0.3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84.9" customHeight="1" x14ac:dyDescent="0.3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84.9" customHeight="1" x14ac:dyDescent="0.3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84.9" customHeight="1" x14ac:dyDescent="0.3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</sheetData>
  <autoFilter ref="A1:T21" xr:uid="{00000000-0009-0000-0000-000000000000}"/>
  <conditionalFormatting sqref="J2:M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 t="shared" ref="F2:F7" si="0">IF(E2="","",MAX(0,4-E2))</f>
        <v/>
      </c>
      <c r="G2" s="4" t="str">
        <f t="shared" ref="G2:G7" si="1"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 t="shared" si="0"/>
        <v/>
      </c>
      <c r="G3" s="4" t="str">
        <f t="shared" si="1"/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 t="shared" si="0"/>
        <v/>
      </c>
      <c r="G4" s="4" t="str">
        <f t="shared" si="1"/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 t="shared" si="0"/>
        <v/>
      </c>
      <c r="G5" s="4" t="str">
        <f t="shared" si="1"/>
        <v/>
      </c>
    </row>
    <row r="6" spans="1:7" ht="30" customHeight="1" x14ac:dyDescent="0.3">
      <c r="A6" s="4" t="s">
        <v>200</v>
      </c>
      <c r="B6" s="4" t="str">
        <f>IFERROR(ROUND(AVERAGEIF(Assessment!$A:$A,A6,Assessment!$J:$J),0),"")</f>
        <v/>
      </c>
      <c r="C6" s="4" t="str">
        <f>IFERROR(ROUND(AVERAGEIF(Assessment!$A:$A,A6,Assessment!$K:$K),0),"")</f>
        <v/>
      </c>
      <c r="D6" s="4" t="str">
        <f>IFERROR(ROUND(AVERAGEIF(Assessment!$A:$A,A6,Assessment!$L:$L),0),"")</f>
        <v/>
      </c>
      <c r="E6" s="4" t="str">
        <f>IFERROR(ROUND(AVERAGE(B6:D6),0),"")</f>
        <v/>
      </c>
      <c r="F6" s="4" t="str">
        <f t="shared" si="0"/>
        <v/>
      </c>
      <c r="G6" s="4" t="str">
        <f t="shared" si="1"/>
        <v/>
      </c>
    </row>
    <row r="7" spans="1:7" ht="30" customHeight="1" x14ac:dyDescent="0.3">
      <c r="A7" s="4" t="s">
        <v>245</v>
      </c>
      <c r="B7" s="4" t="str">
        <f>IFERROR(ROUND(AVERAGE(B2:B6),0),"")</f>
        <v/>
      </c>
      <c r="C7" s="4" t="str">
        <f>IFERROR(ROUND(AVERAGE(C2:C6),0),"")</f>
        <v/>
      </c>
      <c r="D7" s="4" t="str">
        <f>IFERROR(ROUND(AVERAGE(D2:D6),0),"")</f>
        <v/>
      </c>
      <c r="E7" s="4" t="str">
        <f>IFERROR(ROUND(AVERAGE(E2:E6),0),"")</f>
        <v/>
      </c>
      <c r="F7" s="4" t="str">
        <f t="shared" si="0"/>
        <v/>
      </c>
      <c r="G7" s="4" t="str">
        <f t="shared" si="1"/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246</v>
      </c>
      <c r="D1" s="1" t="s">
        <v>247</v>
      </c>
      <c r="E1" s="1" t="s">
        <v>248</v>
      </c>
      <c r="F1" s="1" t="s">
        <v>249</v>
      </c>
      <c r="G1" s="1" t="s">
        <v>250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  <row r="18" spans="1:8" ht="84.9" customHeight="1" x14ac:dyDescent="0.3">
      <c r="A18" s="2" t="s">
        <v>200</v>
      </c>
      <c r="B18" s="2" t="s">
        <v>201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</row>
    <row r="19" spans="1:8" ht="84.9" customHeight="1" x14ac:dyDescent="0.3">
      <c r="A19" s="2" t="s">
        <v>200</v>
      </c>
      <c r="B19" s="2" t="s">
        <v>212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</row>
    <row r="20" spans="1:8" ht="84.9" customHeight="1" x14ac:dyDescent="0.3">
      <c r="A20" s="2" t="s">
        <v>200</v>
      </c>
      <c r="B20" s="2" t="s">
        <v>223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</row>
    <row r="21" spans="1:8" ht="84.9" customHeight="1" x14ac:dyDescent="0.3">
      <c r="A21" s="2" t="s">
        <v>200</v>
      </c>
      <c r="B21" s="2" t="s">
        <v>234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</row>
  </sheetData>
  <autoFilter ref="A1:H21" xr:uid="{00000000-0009-0000-0000-000002000000}"/>
  <conditionalFormatting sqref="C2:F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250</v>
      </c>
      <c r="D1" s="1" t="s">
        <v>15</v>
      </c>
      <c r="E1" s="1" t="s">
        <v>18</v>
      </c>
      <c r="F1" s="1" t="s">
        <v>251</v>
      </c>
      <c r="G1" s="1" t="s">
        <v>252</v>
      </c>
      <c r="H1" s="1" t="s">
        <v>253</v>
      </c>
      <c r="I1" s="1" t="s">
        <v>254</v>
      </c>
      <c r="J1" s="1" t="s">
        <v>255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28</v>
      </c>
      <c r="G2" s="2" t="str">
        <f t="shared" ref="G2:G21" si="0">IF(C2="","",IF(C2&gt;=3,"Oleada 1",IF(C2=2,"Oleada 2",IF(C2=1,"Oleada 3",""))))</f>
        <v/>
      </c>
      <c r="H2" s="2"/>
      <c r="I2" s="2" t="s">
        <v>256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39</v>
      </c>
      <c r="G3" s="2" t="str">
        <f t="shared" si="0"/>
        <v/>
      </c>
      <c r="H3" s="2"/>
      <c r="I3" s="2" t="s">
        <v>256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50</v>
      </c>
      <c r="G4" s="2" t="str">
        <f t="shared" si="0"/>
        <v/>
      </c>
      <c r="H4" s="2"/>
      <c r="I4" s="2" t="s">
        <v>256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61</v>
      </c>
      <c r="G5" s="2" t="str">
        <f t="shared" si="0"/>
        <v/>
      </c>
      <c r="H5" s="2"/>
      <c r="I5" s="2" t="s">
        <v>256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73</v>
      </c>
      <c r="G6" s="2" t="str">
        <f t="shared" si="0"/>
        <v/>
      </c>
      <c r="H6" s="2"/>
      <c r="I6" s="2" t="s">
        <v>256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84</v>
      </c>
      <c r="G7" s="2" t="str">
        <f t="shared" si="0"/>
        <v/>
      </c>
      <c r="H7" s="2"/>
      <c r="I7" s="2" t="s">
        <v>256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95</v>
      </c>
      <c r="G8" s="2" t="str">
        <f t="shared" si="0"/>
        <v/>
      </c>
      <c r="H8" s="2"/>
      <c r="I8" s="2" t="s">
        <v>256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106</v>
      </c>
      <c r="G9" s="2" t="str">
        <f t="shared" si="0"/>
        <v/>
      </c>
      <c r="H9" s="2"/>
      <c r="I9" s="2" t="s">
        <v>256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118</v>
      </c>
      <c r="G10" s="2" t="str">
        <f t="shared" si="0"/>
        <v/>
      </c>
      <c r="H10" s="2"/>
      <c r="I10" s="2" t="s">
        <v>256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129</v>
      </c>
      <c r="G11" s="2" t="str">
        <f t="shared" si="0"/>
        <v/>
      </c>
      <c r="H11" s="2"/>
      <c r="I11" s="2" t="s">
        <v>256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140</v>
      </c>
      <c r="G12" s="2" t="str">
        <f t="shared" si="0"/>
        <v/>
      </c>
      <c r="H12" s="2"/>
      <c r="I12" s="2" t="s">
        <v>256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151</v>
      </c>
      <c r="G13" s="2" t="str">
        <f t="shared" si="0"/>
        <v/>
      </c>
      <c r="H13" s="2"/>
      <c r="I13" s="2" t="s">
        <v>256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163</v>
      </c>
      <c r="G14" s="2" t="str">
        <f t="shared" si="0"/>
        <v/>
      </c>
      <c r="H14" s="2"/>
      <c r="I14" s="2" t="s">
        <v>256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174</v>
      </c>
      <c r="G15" s="2" t="str">
        <f t="shared" si="0"/>
        <v/>
      </c>
      <c r="H15" s="2"/>
      <c r="I15" s="2" t="s">
        <v>256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185</v>
      </c>
      <c r="G16" s="2" t="str">
        <f t="shared" si="0"/>
        <v/>
      </c>
      <c r="H16" s="2"/>
      <c r="I16" s="2" t="s">
        <v>256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196</v>
      </c>
      <c r="G17" s="2" t="str">
        <f t="shared" si="0"/>
        <v/>
      </c>
      <c r="H17" s="2"/>
      <c r="I17" s="2" t="s">
        <v>256</v>
      </c>
      <c r="J17" s="2"/>
    </row>
    <row r="18" spans="1:10" ht="84.9" customHeight="1" x14ac:dyDescent="0.3">
      <c r="A18" s="2" t="s">
        <v>200</v>
      </c>
      <c r="B18" s="2" t="s">
        <v>201</v>
      </c>
      <c r="C18" s="2" t="str">
        <f>Assessment!O18</f>
        <v/>
      </c>
      <c r="D18" s="2" t="str">
        <f>Assessment!P18</f>
        <v/>
      </c>
      <c r="E18" s="2" t="s">
        <v>211</v>
      </c>
      <c r="F18" s="2" t="s">
        <v>208</v>
      </c>
      <c r="G18" s="2" t="str">
        <f t="shared" si="0"/>
        <v/>
      </c>
      <c r="H18" s="2"/>
      <c r="I18" s="2" t="s">
        <v>256</v>
      </c>
      <c r="J18" s="2"/>
    </row>
    <row r="19" spans="1:10" ht="84.9" customHeight="1" x14ac:dyDescent="0.3">
      <c r="A19" s="2" t="s">
        <v>200</v>
      </c>
      <c r="B19" s="2" t="s">
        <v>212</v>
      </c>
      <c r="C19" s="2" t="str">
        <f>Assessment!O19</f>
        <v/>
      </c>
      <c r="D19" s="2" t="str">
        <f>Assessment!P19</f>
        <v/>
      </c>
      <c r="E19" s="2" t="s">
        <v>222</v>
      </c>
      <c r="F19" s="2" t="s">
        <v>219</v>
      </c>
      <c r="G19" s="2" t="str">
        <f t="shared" si="0"/>
        <v/>
      </c>
      <c r="H19" s="2"/>
      <c r="I19" s="2" t="s">
        <v>256</v>
      </c>
      <c r="J19" s="2"/>
    </row>
    <row r="20" spans="1:10" ht="84.9" customHeight="1" x14ac:dyDescent="0.3">
      <c r="A20" s="2" t="s">
        <v>200</v>
      </c>
      <c r="B20" s="2" t="s">
        <v>223</v>
      </c>
      <c r="C20" s="2" t="str">
        <f>Assessment!O20</f>
        <v/>
      </c>
      <c r="D20" s="2" t="str">
        <f>Assessment!P20</f>
        <v/>
      </c>
      <c r="E20" s="2" t="s">
        <v>233</v>
      </c>
      <c r="F20" s="2" t="s">
        <v>230</v>
      </c>
      <c r="G20" s="2" t="str">
        <f t="shared" si="0"/>
        <v/>
      </c>
      <c r="H20" s="2"/>
      <c r="I20" s="2" t="s">
        <v>256</v>
      </c>
      <c r="J20" s="2"/>
    </row>
    <row r="21" spans="1:10" ht="84.9" customHeight="1" x14ac:dyDescent="0.3">
      <c r="A21" s="2" t="s">
        <v>200</v>
      </c>
      <c r="B21" s="2" t="s">
        <v>234</v>
      </c>
      <c r="C21" s="2" t="str">
        <f>Assessment!O21</f>
        <v/>
      </c>
      <c r="D21" s="2" t="str">
        <f>Assessment!P21</f>
        <v/>
      </c>
      <c r="E21" s="2" t="s">
        <v>244</v>
      </c>
      <c r="F21" s="2" t="s">
        <v>241</v>
      </c>
      <c r="G21" s="2" t="str">
        <f t="shared" si="0"/>
        <v/>
      </c>
      <c r="H21" s="2"/>
      <c r="I21" s="2" t="s">
        <v>256</v>
      </c>
      <c r="J21" s="2"/>
    </row>
  </sheetData>
  <autoFilter ref="A1:J21" xr:uid="{00000000-0009-0000-0000-000003000000}"/>
  <dataValidations count="1">
    <dataValidation type="list" allowBlank="1" sqref="I2:I21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257</v>
      </c>
      <c r="E1" s="1" t="s">
        <v>258</v>
      </c>
    </row>
    <row r="2" spans="1:5" ht="84.9" customHeight="1" x14ac:dyDescent="0.3">
      <c r="A2" s="2" t="s">
        <v>20</v>
      </c>
      <c r="B2" s="2" t="s">
        <v>21</v>
      </c>
      <c r="C2" s="2" t="s">
        <v>28</v>
      </c>
      <c r="D2" s="2" t="s">
        <v>27</v>
      </c>
      <c r="E2" s="2" t="s">
        <v>259</v>
      </c>
    </row>
    <row r="3" spans="1:5" ht="84.9" customHeight="1" x14ac:dyDescent="0.3">
      <c r="A3" s="2" t="s">
        <v>20</v>
      </c>
      <c r="B3" s="2" t="s">
        <v>32</v>
      </c>
      <c r="C3" s="2" t="s">
        <v>39</v>
      </c>
      <c r="D3" s="2" t="s">
        <v>38</v>
      </c>
      <c r="E3" s="2" t="s">
        <v>259</v>
      </c>
    </row>
    <row r="4" spans="1:5" ht="84.9" customHeight="1" x14ac:dyDescent="0.3">
      <c r="A4" s="2" t="s">
        <v>20</v>
      </c>
      <c r="B4" s="2" t="s">
        <v>43</v>
      </c>
      <c r="C4" s="2" t="s">
        <v>50</v>
      </c>
      <c r="D4" s="2" t="s">
        <v>49</v>
      </c>
      <c r="E4" s="2" t="s">
        <v>259</v>
      </c>
    </row>
    <row r="5" spans="1:5" ht="84.9" customHeight="1" x14ac:dyDescent="0.3">
      <c r="A5" s="2" t="s">
        <v>20</v>
      </c>
      <c r="B5" s="2" t="s">
        <v>54</v>
      </c>
      <c r="C5" s="2" t="s">
        <v>61</v>
      </c>
      <c r="D5" s="2" t="s">
        <v>60</v>
      </c>
      <c r="E5" s="2" t="s">
        <v>259</v>
      </c>
    </row>
    <row r="6" spans="1:5" ht="84.9" customHeight="1" x14ac:dyDescent="0.3">
      <c r="A6" s="2" t="s">
        <v>65</v>
      </c>
      <c r="B6" s="2" t="s">
        <v>66</v>
      </c>
      <c r="C6" s="2" t="s">
        <v>73</v>
      </c>
      <c r="D6" s="2" t="s">
        <v>72</v>
      </c>
      <c r="E6" s="2" t="s">
        <v>259</v>
      </c>
    </row>
    <row r="7" spans="1:5" ht="84.9" customHeight="1" x14ac:dyDescent="0.3">
      <c r="A7" s="2" t="s">
        <v>65</v>
      </c>
      <c r="B7" s="2" t="s">
        <v>77</v>
      </c>
      <c r="C7" s="2" t="s">
        <v>84</v>
      </c>
      <c r="D7" s="2" t="s">
        <v>83</v>
      </c>
      <c r="E7" s="2" t="s">
        <v>259</v>
      </c>
    </row>
    <row r="8" spans="1:5" ht="84.9" customHeight="1" x14ac:dyDescent="0.3">
      <c r="A8" s="2" t="s">
        <v>65</v>
      </c>
      <c r="B8" s="2" t="s">
        <v>88</v>
      </c>
      <c r="C8" s="2" t="s">
        <v>95</v>
      </c>
      <c r="D8" s="2" t="s">
        <v>94</v>
      </c>
      <c r="E8" s="2" t="s">
        <v>259</v>
      </c>
    </row>
    <row r="9" spans="1:5" ht="84.9" customHeight="1" x14ac:dyDescent="0.3">
      <c r="A9" s="2" t="s">
        <v>65</v>
      </c>
      <c r="B9" s="2" t="s">
        <v>99</v>
      </c>
      <c r="C9" s="2" t="s">
        <v>106</v>
      </c>
      <c r="D9" s="2" t="s">
        <v>105</v>
      </c>
      <c r="E9" s="2" t="s">
        <v>259</v>
      </c>
    </row>
    <row r="10" spans="1:5" ht="84.9" customHeight="1" x14ac:dyDescent="0.3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259</v>
      </c>
    </row>
    <row r="11" spans="1:5" ht="84.9" customHeight="1" x14ac:dyDescent="0.3">
      <c r="A11" s="2" t="s">
        <v>110</v>
      </c>
      <c r="B11" s="2" t="s">
        <v>122</v>
      </c>
      <c r="C11" s="2" t="s">
        <v>129</v>
      </c>
      <c r="D11" s="2" t="s">
        <v>128</v>
      </c>
      <c r="E11" s="2" t="s">
        <v>259</v>
      </c>
    </row>
    <row r="12" spans="1:5" ht="84.9" customHeight="1" x14ac:dyDescent="0.3">
      <c r="A12" s="2" t="s">
        <v>110</v>
      </c>
      <c r="B12" s="2" t="s">
        <v>133</v>
      </c>
      <c r="C12" s="2" t="s">
        <v>140</v>
      </c>
      <c r="D12" s="2" t="s">
        <v>139</v>
      </c>
      <c r="E12" s="2" t="s">
        <v>259</v>
      </c>
    </row>
    <row r="13" spans="1:5" ht="84.9" customHeight="1" x14ac:dyDescent="0.3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259</v>
      </c>
    </row>
    <row r="14" spans="1:5" ht="84.9" customHeight="1" x14ac:dyDescent="0.3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259</v>
      </c>
    </row>
    <row r="15" spans="1:5" ht="84.9" customHeight="1" x14ac:dyDescent="0.3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259</v>
      </c>
    </row>
    <row r="16" spans="1:5" ht="84.9" customHeight="1" x14ac:dyDescent="0.3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259</v>
      </c>
    </row>
    <row r="17" spans="1:5" ht="84.9" customHeight="1" x14ac:dyDescent="0.3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259</v>
      </c>
    </row>
    <row r="18" spans="1:5" ht="84.9" customHeight="1" x14ac:dyDescent="0.3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259</v>
      </c>
    </row>
    <row r="19" spans="1:5" ht="84.9" customHeight="1" x14ac:dyDescent="0.3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259</v>
      </c>
    </row>
    <row r="20" spans="1:5" ht="84.9" customHeight="1" x14ac:dyDescent="0.3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259</v>
      </c>
    </row>
    <row r="21" spans="1:5" ht="84.9" customHeight="1" x14ac:dyDescent="0.3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259</v>
      </c>
    </row>
  </sheetData>
  <autoFilter ref="A1:E2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260</v>
      </c>
      <c r="B1" s="1"/>
    </row>
    <row r="2" spans="1:2" ht="30" customHeight="1" x14ac:dyDescent="0.3">
      <c r="A2" s="5" t="s">
        <v>261</v>
      </c>
      <c r="B2" s="5"/>
    </row>
    <row r="3" spans="1:2" ht="30" customHeight="1" x14ac:dyDescent="0.3">
      <c r="A3" s="2" t="s">
        <v>3</v>
      </c>
      <c r="B3" s="2" t="s">
        <v>262</v>
      </c>
    </row>
    <row r="4" spans="1:2" ht="30" customHeight="1" x14ac:dyDescent="0.3">
      <c r="A4" s="2" t="s">
        <v>4</v>
      </c>
      <c r="B4" s="2" t="s">
        <v>263</v>
      </c>
    </row>
    <row r="5" spans="1:2" ht="30" customHeight="1" x14ac:dyDescent="0.3">
      <c r="A5" s="2" t="s">
        <v>5</v>
      </c>
      <c r="B5" s="2" t="s">
        <v>264</v>
      </c>
    </row>
    <row r="6" spans="1:2" ht="30" customHeight="1" x14ac:dyDescent="0.3">
      <c r="A6" s="2" t="s">
        <v>6</v>
      </c>
      <c r="B6" s="2" t="s">
        <v>265</v>
      </c>
    </row>
    <row r="7" spans="1:2" ht="30" customHeight="1" x14ac:dyDescent="0.3">
      <c r="A7" s="2" t="s">
        <v>266</v>
      </c>
      <c r="B7" s="2" t="s">
        <v>267</v>
      </c>
    </row>
    <row r="8" spans="1:2" ht="30" customHeight="1" x14ac:dyDescent="0.3">
      <c r="A8" s="2"/>
      <c r="B8" s="2"/>
    </row>
    <row r="9" spans="1:2" ht="30" customHeight="1" x14ac:dyDescent="0.3">
      <c r="A9" s="5" t="s">
        <v>268</v>
      </c>
      <c r="B9" s="5"/>
    </row>
    <row r="10" spans="1:2" ht="30" customHeight="1" x14ac:dyDescent="0.3">
      <c r="A10" s="2" t="s">
        <v>3</v>
      </c>
      <c r="B10" s="2" t="s">
        <v>269</v>
      </c>
    </row>
    <row r="11" spans="1:2" ht="30" customHeight="1" x14ac:dyDescent="0.3">
      <c r="A11" s="2" t="s">
        <v>4</v>
      </c>
      <c r="B11" s="2" t="s">
        <v>270</v>
      </c>
    </row>
    <row r="12" spans="1:2" ht="30" customHeight="1" x14ac:dyDescent="0.3">
      <c r="A12" s="2" t="s">
        <v>5</v>
      </c>
      <c r="B12" s="2" t="s">
        <v>271</v>
      </c>
    </row>
    <row r="13" spans="1:2" ht="30" customHeight="1" x14ac:dyDescent="0.3">
      <c r="A13" s="2" t="s">
        <v>6</v>
      </c>
      <c r="B13" s="2" t="s">
        <v>272</v>
      </c>
    </row>
    <row r="14" spans="1:2" ht="30" customHeight="1" x14ac:dyDescent="0.3">
      <c r="A14" s="2" t="s">
        <v>266</v>
      </c>
      <c r="B14" s="2" t="s">
        <v>273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274</v>
      </c>
      <c r="B16" s="5"/>
    </row>
    <row r="17" spans="1:2" ht="30" customHeight="1" x14ac:dyDescent="0.3">
      <c r="A17" s="2" t="s">
        <v>3</v>
      </c>
      <c r="B17" s="2" t="s">
        <v>275</v>
      </c>
    </row>
    <row r="18" spans="1:2" ht="30" customHeight="1" x14ac:dyDescent="0.3">
      <c r="A18" s="2" t="s">
        <v>4</v>
      </c>
      <c r="B18" s="2" t="s">
        <v>276</v>
      </c>
    </row>
    <row r="19" spans="1:2" ht="30" customHeight="1" x14ac:dyDescent="0.3">
      <c r="A19" s="2" t="s">
        <v>5</v>
      </c>
      <c r="B19" s="2" t="s">
        <v>277</v>
      </c>
    </row>
    <row r="20" spans="1:2" ht="30" customHeight="1" x14ac:dyDescent="0.3">
      <c r="A20" s="2" t="s">
        <v>6</v>
      </c>
      <c r="B20" s="2" t="s">
        <v>278</v>
      </c>
    </row>
    <row r="21" spans="1:2" ht="30" customHeight="1" x14ac:dyDescent="0.3">
      <c r="A21" s="2" t="s">
        <v>266</v>
      </c>
      <c r="B21" s="2" t="s">
        <v>279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280</v>
      </c>
      <c r="B23" s="5"/>
    </row>
    <row r="24" spans="1:2" ht="30" customHeight="1" x14ac:dyDescent="0.3">
      <c r="A24" s="2" t="s">
        <v>281</v>
      </c>
      <c r="B24" s="2" t="s">
        <v>282</v>
      </c>
    </row>
    <row r="25" spans="1:2" ht="30" customHeight="1" x14ac:dyDescent="0.3">
      <c r="A25" s="2" t="s">
        <v>283</v>
      </c>
      <c r="B25" s="2" t="s">
        <v>284</v>
      </c>
    </row>
    <row r="26" spans="1:2" ht="30" customHeight="1" x14ac:dyDescent="0.3">
      <c r="A26" s="2" t="s">
        <v>285</v>
      </c>
      <c r="B26" s="2" t="s">
        <v>286</v>
      </c>
    </row>
    <row r="27" spans="1:2" ht="30" customHeight="1" x14ac:dyDescent="0.3">
      <c r="A27" s="2" t="s">
        <v>287</v>
      </c>
      <c r="B27" s="2" t="s">
        <v>288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289</v>
      </c>
      <c r="B1" s="8"/>
    </row>
    <row r="2" spans="1:2" ht="30" customHeight="1" x14ac:dyDescent="0.3">
      <c r="A2" s="6" t="s">
        <v>290</v>
      </c>
      <c r="B2" s="2" t="s">
        <v>291</v>
      </c>
    </row>
    <row r="3" spans="1:2" ht="30" customHeight="1" x14ac:dyDescent="0.3">
      <c r="A3" s="6" t="s">
        <v>292</v>
      </c>
      <c r="B3" s="2" t="s">
        <v>293</v>
      </c>
    </row>
    <row r="4" spans="1:2" ht="30" customHeight="1" x14ac:dyDescent="0.3">
      <c r="A4" s="6" t="s">
        <v>294</v>
      </c>
      <c r="B4" s="2" t="s">
        <v>295</v>
      </c>
    </row>
    <row r="5" spans="1:2" ht="30" customHeight="1" x14ac:dyDescent="0.3">
      <c r="A5" s="6" t="s">
        <v>296</v>
      </c>
      <c r="B5" s="2" t="s">
        <v>297</v>
      </c>
    </row>
    <row r="6" spans="1:2" ht="30" customHeight="1" x14ac:dyDescent="0.3">
      <c r="A6" s="6" t="s">
        <v>298</v>
      </c>
      <c r="B6" s="2" t="s">
        <v>299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847615E-F280-4C3C-AB36-A4B020076509}"/>
</file>

<file path=customXml/itemProps2.xml><?xml version="1.0" encoding="utf-8"?>
<ds:datastoreItem xmlns:ds="http://schemas.openxmlformats.org/officeDocument/2006/customXml" ds:itemID="{8425E261-C12F-4537-8FDE-AB5DD44B1F54}"/>
</file>

<file path=customXml/itemProps3.xml><?xml version="1.0" encoding="utf-8"?>
<ds:datastoreItem xmlns:ds="http://schemas.openxmlformats.org/officeDocument/2006/customXml" ds:itemID="{30D60596-A582-41F9-BAD7-6CD3D3FBE170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Colomer Flores, Jorge Antonio</dc:creator>
  <cp:keywords/>
  <dc:description/>
  <cp:lastModifiedBy>Colomer Flores, Jorge Antonio</cp:lastModifiedBy>
  <cp:revision/>
  <dcterms:created xsi:type="dcterms:W3CDTF">2026-07-28T13:56:16Z</dcterms:created>
  <dcterms:modified xsi:type="dcterms:W3CDTF">2026-07-28T13:59:54Z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