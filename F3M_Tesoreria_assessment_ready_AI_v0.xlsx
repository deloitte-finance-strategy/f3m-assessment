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colomerflores_deloitte_es/Documents/00 FINANCE STRATEGY/01 PROYECTO F3M/Tesorería/"/>
    </mc:Choice>
  </mc:AlternateContent>
  <xr:revisionPtr revIDLastSave="0" documentId="8_{44570D32-3F35-4D53-B6D9-68CE22617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Overlay'!$A$1:$E$21</definedName>
    <definedName name="_xlnm._FilterDatabase" localSheetId="0" hidden="1">Assessment!$A$1:$T$21</definedName>
    <definedName name="_xlnm._FilterDatabase" localSheetId="2" hidden="1">Heatmap!$A$1:$H$21</definedName>
    <definedName name="_xlnm._FilterDatabase" localSheetId="3" hidden="1">Roadmap!$A$1:$J$21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D6" i="2"/>
  <c r="C6" i="2"/>
  <c r="B6" i="2"/>
  <c r="E6" i="2" s="1"/>
  <c r="F6" i="2" s="1"/>
  <c r="G6" i="2" s="1"/>
  <c r="D5" i="2"/>
  <c r="C5" i="2"/>
  <c r="B5" i="2"/>
  <c r="D4" i="2"/>
  <c r="C4" i="2"/>
  <c r="B4" i="2"/>
  <c r="E4" i="2" s="1"/>
  <c r="F4" i="2" s="1"/>
  <c r="G4" i="2" s="1"/>
  <c r="D3" i="2"/>
  <c r="C3" i="2"/>
  <c r="B3" i="2"/>
  <c r="E3" i="2" s="1"/>
  <c r="F3" i="2" s="1"/>
  <c r="G3" i="2" s="1"/>
  <c r="D2" i="2"/>
  <c r="C2" i="2"/>
  <c r="B2" i="2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C7" i="2" l="1"/>
  <c r="E5" i="2"/>
  <c r="F5" i="2" s="1"/>
  <c r="G5" i="2" s="1"/>
  <c r="D7" i="2"/>
  <c r="F2" i="3"/>
  <c r="O2" i="1"/>
  <c r="N2" i="1"/>
  <c r="F3" i="3"/>
  <c r="O3" i="1"/>
  <c r="N3" i="1"/>
  <c r="F4" i="3"/>
  <c r="O4" i="1"/>
  <c r="N4" i="1"/>
  <c r="F5" i="3"/>
  <c r="O5" i="1"/>
  <c r="N5" i="1"/>
  <c r="F6" i="3"/>
  <c r="O6" i="1"/>
  <c r="N6" i="1"/>
  <c r="F7" i="3"/>
  <c r="O7" i="1"/>
  <c r="N7" i="1"/>
  <c r="F8" i="3"/>
  <c r="O8" i="1"/>
  <c r="N8" i="1"/>
  <c r="F9" i="3"/>
  <c r="O9" i="1"/>
  <c r="N9" i="1"/>
  <c r="F10" i="3"/>
  <c r="O10" i="1"/>
  <c r="N10" i="1"/>
  <c r="F11" i="3"/>
  <c r="O11" i="1"/>
  <c r="N11" i="1"/>
  <c r="F12" i="3"/>
  <c r="O12" i="1"/>
  <c r="N12" i="1"/>
  <c r="F13" i="3"/>
  <c r="O13" i="1"/>
  <c r="N13" i="1"/>
  <c r="F14" i="3"/>
  <c r="O14" i="1"/>
  <c r="N14" i="1"/>
  <c r="F15" i="3"/>
  <c r="O15" i="1"/>
  <c r="N15" i="1"/>
  <c r="F16" i="3"/>
  <c r="O16" i="1"/>
  <c r="N16" i="1"/>
  <c r="F17" i="3"/>
  <c r="O17" i="1"/>
  <c r="N17" i="1"/>
  <c r="F18" i="3"/>
  <c r="O18" i="1"/>
  <c r="N18" i="1"/>
  <c r="F19" i="3"/>
  <c r="O19" i="1"/>
  <c r="N19" i="1"/>
  <c r="F20" i="3"/>
  <c r="O20" i="1"/>
  <c r="N20" i="1"/>
  <c r="F21" i="3"/>
  <c r="O21" i="1"/>
  <c r="N21" i="1"/>
  <c r="B7" i="2"/>
  <c r="E2" i="2"/>
  <c r="E7" i="2" l="1"/>
  <c r="F7" i="2" s="1"/>
  <c r="G7" i="2" s="1"/>
  <c r="F2" i="2"/>
  <c r="G2" i="2" s="1"/>
  <c r="C21" i="4"/>
  <c r="G21" i="4" s="1"/>
  <c r="G21" i="3"/>
  <c r="P21" i="1"/>
  <c r="C20" i="4"/>
  <c r="G20" i="4" s="1"/>
  <c r="G20" i="3"/>
  <c r="P20" i="1"/>
  <c r="C19" i="4"/>
  <c r="G19" i="4" s="1"/>
  <c r="G19" i="3"/>
  <c r="P19" i="1"/>
  <c r="C18" i="4"/>
  <c r="G18" i="4" s="1"/>
  <c r="G18" i="3"/>
  <c r="P18" i="1"/>
  <c r="C17" i="4"/>
  <c r="G17" i="4" s="1"/>
  <c r="G17" i="3"/>
  <c r="P17" i="1"/>
  <c r="C16" i="4"/>
  <c r="G16" i="4" s="1"/>
  <c r="G16" i="3"/>
  <c r="P16" i="1"/>
  <c r="C15" i="4"/>
  <c r="G15" i="4" s="1"/>
  <c r="G15" i="3"/>
  <c r="P15" i="1"/>
  <c r="C14" i="4"/>
  <c r="G14" i="4" s="1"/>
  <c r="G14" i="3"/>
  <c r="P14" i="1"/>
  <c r="C13" i="4"/>
  <c r="G13" i="4" s="1"/>
  <c r="G13" i="3"/>
  <c r="P13" i="1"/>
  <c r="C12" i="4"/>
  <c r="G12" i="4" s="1"/>
  <c r="G12" i="3"/>
  <c r="P12" i="1"/>
  <c r="C11" i="4"/>
  <c r="G11" i="4" s="1"/>
  <c r="G11" i="3"/>
  <c r="P11" i="1"/>
  <c r="C10" i="4"/>
  <c r="G10" i="4" s="1"/>
  <c r="G10" i="3"/>
  <c r="P10" i="1"/>
  <c r="C9" i="4"/>
  <c r="G9" i="4" s="1"/>
  <c r="G9" i="3"/>
  <c r="P9" i="1"/>
  <c r="C8" i="4"/>
  <c r="G8" i="4" s="1"/>
  <c r="G8" i="3"/>
  <c r="P8" i="1"/>
  <c r="C7" i="4"/>
  <c r="G7" i="4" s="1"/>
  <c r="G7" i="3"/>
  <c r="P7" i="1"/>
  <c r="C6" i="4"/>
  <c r="G6" i="4" s="1"/>
  <c r="G6" i="3"/>
  <c r="P6" i="1"/>
  <c r="C5" i="4"/>
  <c r="G5" i="4" s="1"/>
  <c r="G5" i="3"/>
  <c r="P5" i="1"/>
  <c r="C4" i="4"/>
  <c r="G4" i="4" s="1"/>
  <c r="G4" i="3"/>
  <c r="P4" i="1"/>
  <c r="C3" i="4"/>
  <c r="G3" i="4" s="1"/>
  <c r="G3" i="3"/>
  <c r="P3" i="1"/>
  <c r="C2" i="4"/>
  <c r="G2" i="4" s="1"/>
  <c r="G2" i="3"/>
  <c r="P2" i="1"/>
  <c r="D2" i="4" l="1"/>
  <c r="H2" i="3"/>
  <c r="D3" i="4"/>
  <c r="H3" i="3"/>
  <c r="D4" i="4"/>
  <c r="H4" i="3"/>
  <c r="D5" i="4"/>
  <c r="H5" i="3"/>
  <c r="D6" i="4"/>
  <c r="H6" i="3"/>
  <c r="D7" i="4"/>
  <c r="H7" i="3"/>
  <c r="D8" i="4"/>
  <c r="H8" i="3"/>
  <c r="D9" i="4"/>
  <c r="H9" i="3"/>
  <c r="D10" i="4"/>
  <c r="H10" i="3"/>
  <c r="D11" i="4"/>
  <c r="H11" i="3"/>
  <c r="D12" i="4"/>
  <c r="H12" i="3"/>
  <c r="D13" i="4"/>
  <c r="H13" i="3"/>
  <c r="D14" i="4"/>
  <c r="H14" i="3"/>
  <c r="D15" i="4"/>
  <c r="H15" i="3"/>
  <c r="D16" i="4"/>
  <c r="H16" i="3"/>
  <c r="D17" i="4"/>
  <c r="H17" i="3"/>
  <c r="D18" i="4"/>
  <c r="H18" i="3"/>
  <c r="D19" i="4"/>
  <c r="H19" i="3"/>
  <c r="D20" i="4"/>
  <c r="H20" i="3"/>
  <c r="D21" i="4"/>
  <c r="H21" i="3"/>
</calcChain>
</file>

<file path=xl/sharedStrings.xml><?xml version="1.0" encoding="utf-8"?>
<sst xmlns="http://schemas.openxmlformats.org/spreadsheetml/2006/main" count="590" uniqueCount="320">
  <si>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</si>
  <si>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</si>
  <si>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</si>
  <si>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</si>
  <si>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</si>
  <si>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</si>
  <si>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</si>
  <si>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</si>
  <si>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</si>
  <si>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</si>
  <si>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</si>
  <si>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</si>
  <si>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</si>
  <si>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</si>
  <si>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</si>
  <si>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</si>
  <si>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</si>
  <si>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</si>
  <si>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</si>
  <si>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</si>
  <si>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Control y tratamiento contable</t>
  </si>
  <si>
    <t>1.1 Gobierno del tratamiento contable de operaciones de tesorería</t>
  </si>
  <si>
    <t>Evaluar si las operaciones de tesorería tienen un tratamiento contable gobernado, trazable y coordinado con cierre contable y reporting.</t>
  </si>
  <si>
    <t>Registro contable de operaciones de tesorería manual, reactivo y con baja trazabilidad de criterios y aprobaciones.</t>
  </si>
  <si>
    <t>Criterios contables básicos definidos para operaciones relevantes, aunque con revisiones manuales y variabilidad entre entidades.</t>
  </si>
  <si>
    <t>Políticas documentadas para tratamiento contable de instrumentos, intereses, comisiones y ajustes de tesorería.</t>
  </si>
  <si>
    <t>Proceso integrado con cierre contable, reporting y controles automáticos, con revisión periódica de criterios y excepciones.</t>
  </si>
  <si>
    <t>Modelo basado en IA que detecta tratamientos anómalos, sugiere clasificaciones contables y explica variaciones de resultados financieros.</t>
  </si>
  <si>
    <t>Generación precisa de informes fiscales; Identificación de inconsistencias en los registros de datos maestros; Generación de análisis de desviaciones de cuentas con explicaciones inteligentes</t>
  </si>
  <si>
    <t xml:space="preserve">¿Existen políticas contables para operaciones de tesorería?
¿Se revisa el tratamiento contable de instrumentos, intereses y comisiones?
¿Se conectan con cierre y reporting?
¿Hay trazabilidad de ajustes?</t>
  </si>
  <si>
    <t>Políticas contables; registros de operaciones; conciliaciones; evidencias de revisión; workpapers; reporting financiero.</t>
  </si>
  <si>
    <t>Definir gobierno del tratamiento contable de tesorería con políticas, controles, trazabilidad, responsables y revisión recurrente de excepciones.</t>
  </si>
  <si>
    <t>1.2 Registro, conciliación y devengo de intereses y comisiones</t>
  </si>
  <si>
    <t>Evaluar la calidad del registro, devengo, conciliación y explicación de intereses, comisiones y gastos financieros.</t>
  </si>
  <si>
    <t>Devengos y registros manuales, con conciliaciones puntuales y dependencia de hojas de cálculo.</t>
  </si>
  <si>
    <t>Plantillas recurrentes para devengos y conciliaciones, aunque con controles manuales y baja automatización.</t>
  </si>
  <si>
    <t>Modelo estándar de devengos y conciliaciones con reglas, calendarios, fuentes, soportes y responsables definidos.</t>
  </si>
  <si>
    <t>Devengos integrados con contratos, bancos, deuda, cierre y reporting, con controles automáticos y explicación de variaciones.</t>
  </si>
  <si>
    <t>IA identifica devengos esperados, detecta omisiones o anomalías y genera explicaciones inteligentes de variaciones financieras.</t>
  </si>
  <si>
    <t>Identificación de provisiones mensuales omitidas a partir de tendencias históricas; Generación de análisis de desviaciones de cuentas con explicaciones inteligentes; Conciliación de saldos contables a nivel de transacción</t>
  </si>
  <si>
    <t>¿Se registran devengos de forma sistemática?
¿Se concilian intereses y comisiones con bancos/contratos?
¿Se explican variaciones?
¿Se detectan omisiones?</t>
  </si>
  <si>
    <t>Contratos financieros; extractos bancarios; cálculos de intereses; conciliaciones; asientos; reportes de variación; evidencias de aprobación.</t>
  </si>
  <si>
    <t>Implantar modelo de devengo y conciliación de intereses/comisiones con reglas, fuentes oficiales, controles y alertas de omisiones.</t>
  </si>
  <si>
    <t>1.3 Calidad del dato maestro financiero y bancario</t>
  </si>
  <si>
    <t>Evaluar si los datos maestros financieros y bancarios son fiables, completos, actualizados y gobernados.</t>
  </si>
  <si>
    <t>Maestros bancarios y financieros gestionados manualmente, con duplicidades, inconsistencias y controles limitados.</t>
  </si>
  <si>
    <t>Controles básicos de actualización y validación, aunque con workflow parcial y visibilidad limitada de calidad del dato.</t>
  </si>
  <si>
    <t>Modelo de gobierno de datos maestros financieros con owners, reglas, aprobaciones, controles y auditoría de cambios.</t>
  </si>
  <si>
    <t>Gobierno integrado con bancos, ERP, TMS, pagos, deuda y reporting, con controles automáticos y gestión de incidencias.</t>
  </si>
  <si>
    <t>IA detecta inconsistencias en datos maestros, propone remediación y guía flujos de trabajo adaptativos de cambios financieros/bancarios.</t>
  </si>
  <si>
    <t>Identificación de inconsistencias en los registros de datos maestros; Flujos guiados y adaptables para cambios en datos maestros; Generación de documentación de metadatos</t>
  </si>
  <si>
    <t>¿Existen owners de datos maestros bancarios?
¿Se controlan altas/cambios?
¿Hay auditoría de cambios?
¿Se mide calidad de dato?</t>
  </si>
  <si>
    <t>Maestros bancarios; workflows de alta/cambio; logs; controles de calidad; incidencias; aprobaciones; políticas de datos.</t>
  </si>
  <si>
    <t>Implantar gobierno de datos maestros financieros y bancarios con responsables, flujo de trabajo, controles automáticos, trazabilidad y gestión de incidencias.</t>
  </si>
  <si>
    <t>1.4 Reporting financiero de resultados de tesorería</t>
  </si>
  <si>
    <t>Evaluar si los resultados financieros de tesorería se reportan de forma clara, oportuna y explicable para dirección y cierre.</t>
  </si>
  <si>
    <t>Reporting de resultados financieros manual, agregado y orientado al cierre, con baja explicación de drivers.</t>
  </si>
  <si>
    <t>Reporting recurrente de gastos/ingresos financieros, aunque con narrativa limitada y análisis manual.</t>
  </si>
  <si>
    <t>Reporting estándar con KPIs, variaciones, drivers, posiciones, coste financiero y comentarios ejecutivos.</t>
  </si>
  <si>
    <t>Reporting integrado con deuda, liquidez, inversiones, riesgos financieros, forecast y acciones de gestión.</t>
  </si>
  <si>
    <t>Informes basados en IA, con narrativa automática, explicación de los drivers, alertas tempranas y recomendaciones sobre coste financiero y liquidez.</t>
  </si>
  <si>
    <t>Generación de una visión ejecutiva de la salud financiera de la compañía; Generación de análisis de desviaciones de cuentas con explicaciones inteligentes; FinanceAI Insights Platform</t>
  </si>
  <si>
    <t>¿Se reportan resultados financieros de tesorería?
¿Se explican drivers de variación?
¿Se conectan con liquidez, deuda y riesgos?
¿Se generan acciones?</t>
  </si>
  <si>
    <t>Reporting de tesorería; análisis de variaciones; KPIs de coste financiero; comité financiero; forecast; acciones de gestión.</t>
  </si>
  <si>
    <t>Crear informes financieros de tesorería con drivers, KPIs, narrativa ejecutiva, conexión con la previsión y recomendaciones de acción.</t>
  </si>
  <si>
    <t>Gestión de riesgos financieros</t>
  </si>
  <si>
    <t>2.1 Marco de gestión de riesgos financieros y políticas</t>
  </si>
  <si>
    <t>Evaluar si existe un marco formal para identificar, medir, limitar y gobernar riesgos financieros: FX, tipos, crédito, liquidez y contraparte.</t>
  </si>
  <si>
    <t>Riesgos financieros gestionados de forma reactiva, con políticas incompletas y límites poco formalizados.</t>
  </si>
  <si>
    <t>Políticas básicas y límites para riesgos principales, aunque con seguimiento manual y cobertura parcial.</t>
  </si>
  <si>
    <t>Marco de gestión de riesgos financieros documentado con apetito, límites, roles, métricas, aprobaciones y reporting.</t>
  </si>
  <si>
    <t>Gestión integrada con posiciones, exposiciones, coberturas, escenarios, límites y comités de seguimiento.</t>
  </si>
  <si>
    <t>Modelo basado en IA que monitoriza exposiciones, detecta desviaciones frente a límites y recomienda acciones de cobertura o mitigación.</t>
  </si>
  <si>
    <t>Optimización de las operaciones de divisa evaluando datos de tipo de cambio e identificando patrones y tendencias para reducir riesgos financieros; Agentes de IA para el análisis de riesgo crediticio; Monitorización predictiva del cumplimiento</t>
  </si>
  <si>
    <t>¿Existe política de riesgos financieros?
¿Se definen límites y apetito de riesgo?
¿Se monitorizan exposiciones?
¿Hay reporting a comité?</t>
  </si>
  <si>
    <t>Política de riesgos; límites; exposiciones; reportes de comité; aprobaciones; métricas VaR/sensibilidad; excepciones.</t>
  </si>
  <si>
    <t>Definir marco integral de riesgos financieros con políticas, límites, métricas, informes, gobierno y flujo de excepciones.</t>
  </si>
  <si>
    <t>2.2 Medición y cobertura de riesgo de divisa</t>
  </si>
  <si>
    <t>Evaluar la capacidad para identificar, medir, forecastar y cubrir exposiciones de divisa de forma alineada con política y negocio.</t>
  </si>
  <si>
    <t>Exposición FX identificada parcialmente y gestionada mediante análisis manual o coberturas puntuales.</t>
  </si>
  <si>
    <t>Forecast de exposición y coberturas básicas, aunque con baja integración con presupuesto, ventas/compras o cash forecast.</t>
  </si>
  <si>
    <t>Modelo estándar de exposición FX con fuentes, periodicidad, sensibilidad, instrumentos, aprobaciones y reporting.</t>
  </si>
  <si>
    <t>Gestión integrada de FX con forecast, operaciones, posiciones, escenarios, límites, efectividad de cobertura y contabilidad.</t>
  </si>
  <si>
    <t>IA identifica patrones de tipo de cambio, anticipa exposición, simula escenarios y recomienda estrategias de cobertura según riesgo, coste y política.</t>
  </si>
  <si>
    <t>Optimización de las operaciones de divisa evaluando datos de tipo de cambio e identificando patrones y tendencias para reducir riesgos financieros; Análisis predictivo + GenAI; Generación de estrategias de inversión</t>
  </si>
  <si>
    <t>¿Se mide exposición FX por moneda y horizonte?
¿Se conecta con forecast y operaciones?
¿Se evalúa efectividad de coberturas?
¿Se simulan escenarios?</t>
  </si>
  <si>
    <t>Mapa de exposición FX; forecast por moneda; contratos de cobertura; sensibilidad; hedge effectiveness; reporting de límites.</t>
  </si>
  <si>
    <t>Implantar modelo de gestión del riesgo de divisa con previsión de exposición, límites, escenarios, seguimiento de coberturas y recomendaciones de mitigación.</t>
  </si>
  <si>
    <t>2.3 Gestión de riesgo de tipos, contraparte y crédito financiero</t>
  </si>
  <si>
    <t>Evaluar si la organización mide y gestiona riesgo de tipo de interés, contraparte, crédito financiero y exposición con entidades financieras.</t>
  </si>
  <si>
    <t>Riesgos de tipo, contraparte o crédito financiero gestionados de forma puntual, con visibilidad limitada de exposición consolidada.</t>
  </si>
  <si>
    <t>Seguimiento básico de deuda, tipos y contrapartes principales, aunque con análisis manual y límites parciales.</t>
  </si>
  <si>
    <t>Modelo definido de exposición a tipos/contrapartes con métricas, límites, ratings, sensibilidad y políticas de diversificación.</t>
  </si>
  <si>
    <t>Gestión integrada con deuda, inversiones, bancos, derivados, límites, escenarios macro y decisiones de financiación/inversión.</t>
  </si>
  <si>
    <t>IA calcula sensibilidades, anticipa cambios de riesgo, alerta sobre límites y recomienda acciones de refinanciación, cobertura o diversificación.</t>
  </si>
  <si>
    <t>Agentes de IA para el análisis de riesgo crediticio; Valoración predictiva de la compañía a partir del análisis de datos financieros; Optimización de la red y de la eficiencia energética</t>
  </si>
  <si>
    <t>¿Se mide sensibilidad a tipos?
¿Existen límites por contraparte?
¿Se monitorizan ratings y concentración?
¿Se conectan riesgos con deuda/inversiones?</t>
  </si>
  <si>
    <t>Mapa de contrapartes; ratings; límites; sensibilidad a tipos; cartera de deuda; derivados; reportes de concentración.</t>
  </si>
  <si>
    <t>Diseñar modelo de gestión de riesgo de tipos y contraparte con límites, sensibilidad, escenarios, alertas y decisiones de cobertura/diversificación.</t>
  </si>
  <si>
    <t>2.4 Escenarios, stress testing y reporting de riesgos financieros</t>
  </si>
  <si>
    <t>Evaluar si Tesorería realiza escenarios y stress tests para anticipar impactos financieros y tomar decisiones preventivas.</t>
  </si>
  <si>
    <t>Escenarios financieros puntuales o cualitativos, con baja conexión con decisiones de liquidez, deuda o cobertura.</t>
  </si>
  <si>
    <t>Stress testing básico para riesgos relevantes, con supuestos manuales y reporting limitado.</t>
  </si>
  <si>
    <t>Metodología de escenarios financieros con variables, supuestos, sensibilidad, impactos y revisión periódica.</t>
  </si>
  <si>
    <t>Stress testing integrado con cash forecast, deuda, covenants, FX, tipos, liquidez, capital allocation y comités.</t>
  </si>
  <si>
    <t>IA simula escenarios dinámicos, identifica alertas tempranas, estima impactos y recomienda respuestas financieras preventivas.</t>
  </si>
  <si>
    <t>Herramienta predictiva de previsión de flujo de caja; Optimización de las operaciones de divisa; Identificación de patrones históricos para predecir y mejorar el rendimiento financiero futuro</t>
  </si>
  <si>
    <t>¿Se realizan stress tests financieros?
¿Se cuantifican impactos en liquidez/deuda/covenants?
¿Se conectan con decisiones de cobertura?
¿Hay alertas tempranas?</t>
  </si>
  <si>
    <t>Modelos de escenarios; supuestos macro; sensibilidad; reportes de stress; actas de comité; decisiones preventivas.</t>
  </si>
  <si>
    <t>Crear marco de pruebas de estrés financieras con variables clave, impactos, alertas y planes de respuesta.</t>
  </si>
  <si>
    <t>Mercados de deuda y capitales</t>
  </si>
  <si>
    <t>3.1 Estrategia de financiación y estructura de capital</t>
  </si>
  <si>
    <t>Evaluar si existe una estrategia de financiación alineada con estructura de capital, liquidez, coste, riesgo y objetivos corporativos.</t>
  </si>
  <si>
    <t>Financiación gestionada de forma reactiva ante necesidades puntuales, con baja planificación de estructura de capital.</t>
  </si>
  <si>
    <t>Plan de financiación básico con análisis de deuda existente y necesidades previsibles, aunque con escenarios limitados.</t>
  </si>
  <si>
    <t>Estrategia de financiación definida con objetivos de estructura de capital, coste, vencimientos, liquidez, covenants y rating.</t>
  </si>
  <si>
    <t>Estrategia integrada con plan estratégico, cash forecast, inversiones, mercado, riesgos financieros y capital allocation.</t>
  </si>
  <si>
    <t>IA recomienda estrategias de financiación considerando mercado, coste de capital, rating, liquidez, escenarios y objetivos corporativos.</t>
  </si>
  <si>
    <t>Generación de estrategias de inversión a partir de las condiciones de mercado consolidadas, el rendimiento financiero interno y los objetivos de la firma; Valoración predictiva de la compañía a partir del análisis de datos financieros; Generación de una visión ejecutiva de la salud financiera de la compañía</t>
  </si>
  <si>
    <t>¿Existe estrategia de financiación?
¿Se define estructura objetivo de capital?
¿Se analizan vencimientos y coste?
¿Se incorpora mercado y rating?</t>
  </si>
  <si>
    <t>Plan de financiación; estructura de capital; vencimientos; coste de deuda; rating/covenants; actas de comité; escenarios.</t>
  </si>
  <si>
    <t>Definir estrategia de financiación y estructura de capital con escenarios, vencimientos, coste, covenants, rating y conexión con plan estratégico.</t>
  </si>
  <si>
    <t>3.2 Gestión de deuda, covenants y relación con financiadores</t>
  </si>
  <si>
    <t>Evaluar la gestión operativa y estratégica de deuda, covenants, financiación bancaria y relación con entidades financieras.</t>
  </si>
  <si>
    <t>Deuda y covenants gestionados manualmente, con seguimiento disperso y baja anticipación de riesgos de incumplimiento.</t>
  </si>
  <si>
    <t>Seguimiento básico de deuda, amortizaciones y covenants, aunque con reporting manual y documentación dispersa.</t>
  </si>
  <si>
    <t>Modelo estándar de gestión de deuda con calendario, contratos, covenants, costes, responsables y reporting periódico.</t>
  </si>
  <si>
    <t>Gestión integrada en TMS/ERP con alertas, escenarios, covenant forecasting, relación bancaria y control de documentación.</t>
  </si>
  <si>
    <t>IA anticipa riesgos de covenant, recomienda acciones de refinanciación y sintetiza documentación financiera para financiadores.</t>
  </si>
  <si>
    <t>Generación de una visión ejecutiva de la salud financiera de la compañía; Herramienta predictiva de previsión de flujo de caja; Generación de informes de investigación / KYC</t>
  </si>
  <si>
    <t>¿Se monitorizan covenants y vencimientos?
¿Hay relación estructurada con financiadores?
¿Se anticipan necesidades de refinanciación?
¿Se controla documentación?</t>
  </si>
  <si>
    <t>Contratos de deuda; covenant tracker; calendario de vencimientos; reportes a bancos; actas; forecasts; documentación financiera.</t>
  </si>
  <si>
    <t>Implantar gestión integrada de deuda con seguimiento de covenants, alertas, previsión, repositorio documental y estrategia de relación bancaria.</t>
  </si>
  <si>
    <t>3.3 Acceso a mercados, instrumentos y ejecución de operaciones</t>
  </si>
  <si>
    <t>Evaluar la capacidad para evaluar, seleccionar y ejecutar instrumentos de deuda/capital de acuerdo con necesidades financieras y condiciones de mercado.</t>
  </si>
  <si>
    <t>Selección de instrumentos financiera caso a caso, con análisis limitado de alternativas, costes, riesgos y ejecución.</t>
  </si>
  <si>
    <t>Comparativas básicas entre fuentes de financiación, aunque con criterios poco homogéneos y dependencia de asesores externos.</t>
  </si>
  <si>
    <t>Metodología de evaluación de instrumentos con coste, riesgo, vencimiento, flexibilidad, covenants, mercado y proceso de aprobación.</t>
  </si>
  <si>
    <t>Ejecución integrada con estrategia de financiación, ventanas de mercado, rating, inversores, bancos, riesgos y reporting de operación.</t>
  </si>
  <si>
    <t>IA analiza condiciones de mercado, simula alternativas de instrumentos y recomienda momento, estructura y fuentes óptimas de financiación.</t>
  </si>
  <si>
    <t>Agentes de IA para trading algorítmico y simulación de mercado; Generación de estrategias de inversión; Valoración predictiva de la compañía a partir del análisis de datos financieros</t>
  </si>
  <si>
    <t>¿Se comparan fuentes e instrumentos?
¿Se analizan coste, riesgo y flexibilidad?
¿Se evalúan ventanas de mercado?
¿Existe proceso de aprobación?</t>
  </si>
  <si>
    <t>Análisis de alternativas; term sheets; comparativas de coste; aprobaciones; rating; investor/bank materials; documentación de operación.</t>
  </si>
  <si>
    <t>Crear metodología de evaluación y ejecución de instrumentos financieros con escenarios de mercado, coste y riesgo, aprobaciones y lecciones aprendidas.</t>
  </si>
  <si>
    <t>3.4 Reporting de capital markets e inteligencia de financiación</t>
  </si>
  <si>
    <t>Evaluar si Tesorería monitoriza mercados, condiciones financieras, apetito inversor/bancario y oportunidades de financiación.</t>
  </si>
  <si>
    <t>Monitorización de mercados puntual y manual, con baja sistematización de señales y oportunidades.</t>
  </si>
  <si>
    <t>Seguimiento básico de tipos, spreads y noticias de mercado, aunque con análisis irregular y baja conexión con decisiones.</t>
  </si>
  <si>
    <t>Market intelligence financiero con fuentes, indicadores, benchmarks, reporting periódico y responsables.</t>
  </si>
  <si>
    <t>Inteligencia integrada con estrategia de financiación, deuda, inversión, riesgos, escenarios y decisiones de timing.</t>
  </si>
  <si>
    <t>IA sintetiza señales de mercado, detecta oportunidades de financiación, genera alertas y recomienda acciones de mercados de capitales.</t>
  </si>
  <si>
    <t>Inteligencia de mercado de nueva generación; Generación de estrategias de inversión; Agentes de IA para trading algorítmico y simulación de mercado</t>
  </si>
  <si>
    <t>¿Se monitorizan mercados de deuda/capitales?
¿Existen benchmarks y señales clave?
¿Se conecta con decisiones de financiación?
¿Se generan alertas?</t>
  </si>
  <si>
    <t>Reportes de mercado; benchmarks; curvas de tipos; spreads; actas de comité; recomendaciones de financiación; alertas.</t>
  </si>
  <si>
    <t>Implantar inteligencia de mercados de capitales con fuentes, indicadores, alertas, referencias de mercado y conexión con la estrategia de financiación.</t>
  </si>
  <si>
    <t>Gestión de cash flow y reporte</t>
  </si>
  <si>
    <t>4.1 Gobierno y modelo de cash forecasting</t>
  </si>
  <si>
    <t>Evaluar si existe un proceso formal para forecastar caja, con calendario, responsables, metodología, fuentes y revisión de calidad.</t>
  </si>
  <si>
    <t>Cash forecast manual, poco frecuente, con baja fiabilidad y dependencia de inputs no homogéneos.</t>
  </si>
  <si>
    <t>Forecast básico con periodicidad definida, aunque con inputs manuales, baja integración y análisis limitado de desviaciones.</t>
  </si>
  <si>
    <t>Modelo estándar de cash forecasting con metodología, fuentes, owners, horizonte, granularidad y control de calidad.</t>
  </si>
  <si>
    <t>Forecast integrado con ERP/TMS, presupuesto, ventas, compras, deuda, working capital, escenarios y revisión de desviaciones.</t>
  </si>
  <si>
    <t>Previsión de caja predictiva basada en IA, con aprendizaje sobre el histórico, señales operativas, escenarios dinámicos y recomendación de acciones.</t>
  </si>
  <si>
    <t>Herramienta predictiva de previsión de flujo de caja; Mejora del análisis de flujo de caja, minimizando riesgos de liquidez, mejorando la precisión de las previsiones y maximizando el rendimiento de la tesorería; Optimización de la liquidez intradía</t>
  </si>
  <si>
    <t>¿Existe metodología formal de cash forecast?
¿Quién provee inputs y con qué frecuencia?
¿Se mide precisión del forecast?
¿Se analizan desviaciones?</t>
  </si>
  <si>
    <t>Modelo de forecast; calendario; inputs; histórico de precisión; desviaciones; TMS/ERP; comités de liquidez.</t>
  </si>
  <si>
    <t>Implantar modelo de previsión de tesorería con metodología, responsables, integración de fuentes, medición de precisión y escenarios.</t>
  </si>
  <si>
    <t>4.2 Posición de liquidez y visibilidad bancaria</t>
  </si>
  <si>
    <t>Evaluar si Tesorería dispone de visibilidad oportuna y fiable de posiciones bancarias, liquidez disponible y restricciones.</t>
  </si>
  <si>
    <t>Visibilidad de caja dispersa, manual y tardía, con dependencia de extractos y bancos individuales.</t>
  </si>
  <si>
    <t>Consolidación básica de posiciones bancarias, aunque con baja automatización e información incompleta sobre restricciones.</t>
  </si>
  <si>
    <t>Modelo de posición de liquidez con bancos, divisas, cuentas, disponibilidad, restricciones, responsables y reporting diario/recurrente.</t>
  </si>
  <si>
    <t>Visibilidad integrada e intradía con TMS/bancos, cash pooling, límites, alertas y conciliación automatizada.</t>
  </si>
  <si>
    <t>IA optimiza liquidez intradía, anticipa necesidades, detecta saldos ociosos/restricciones y recomienda movimientos o inversiones.</t>
  </si>
  <si>
    <t>Optimización de la liquidez intradía; Mejora del análisis de flujo de caja, minimizando riesgos de liquidez; Acceso a datos para toda la organización</t>
  </si>
  <si>
    <t>¿Existe visibilidad diaria/intradía de caja?
¿Se identifican restricciones de liquidez?
¿Hay integración bancaria/TMS?
¿Se optimizan saldos?</t>
  </si>
  <si>
    <t>Reportes de posición; extractos bancarios; TMS; cash pooling; saldos por divisa; restricciones; alertas; conciliaciones.</t>
  </si>
  <si>
    <t>Implantar visibilidad integrada de liquidez con conexiones bancarias, centralización de tesorería, alertas y análisis de saldos disponibles y restringidos.</t>
  </si>
  <si>
    <t>4.3 Gestión de liquidez, working capital y decisiones de caja</t>
  </si>
  <si>
    <t>Evaluar si Tesorería optimiza liquidez y working capital conectando caja, cobros, pagos, inventarios, deuda e inversiones.</t>
  </si>
  <si>
    <t>Decisiones de caja reactivas, con baja conexión con working capital, pagos/cobros, deuda o inversiones.</t>
  </si>
  <si>
    <t>Seguimiento básico de liquidez y working capital, aunque con acciones manuales y baja priorización por impacto.</t>
  </si>
  <si>
    <t>KPIs de liquidez y working capital definidos, con rutinas de seguimiento, owners y acciones de mejora.</t>
  </si>
  <si>
    <t>Gestión integrada de liquidez con O2C/P2P, forecast, deuda, inversiones, pagos, cobros, DSO/DPO/DIO y escenarios.</t>
  </si>
  <si>
    <t>IA recomienda términos de pago/cobro, momento óptimo, acciones sobre capital circulante e inversiones de excedentes según liquidez y riesgo.</t>
  </si>
  <si>
    <t>Recomendación de condiciones de pago óptimas para mejorar el DSO; Recomendación del momento óptimo de pago; Gestión dinámica de inventario</t>
  </si>
  <si>
    <t>¿Se conectan liquidez y working capital?
¿Se gestionan DSO/DPO/DIO?
¿Se priorizan pagos/cobros por impacto?
¿Se recomiendan acciones de caja?</t>
  </si>
  <si>
    <t>KPIs working capital; aging; pagos; cobros; inventario; cash forecast; acciones de mejora; comités de cash.</t>
  </si>
  <si>
    <t>Crear modelo de optimización de liquidez y capital circulante con KPIs, escenarios, acciones y recomendaciones de cobro, pago e inventario.</t>
  </si>
  <si>
    <t>4.4 Reporting de tesorería y rutinas de gestión de liquidez</t>
  </si>
  <si>
    <t>Evaluar si el reporting de tesorería genera decisiones, seguimiento de acciones y control de riesgos de liquidez.</t>
  </si>
  <si>
    <t>Reporting de tesorería principalmente descriptivo, manual y sin rutina formal de decisión o seguimiento de acciones.</t>
  </si>
  <si>
    <t>Reporting recurrente de caja y deuda, aunque con narrativa limitada y acciones poco trazadas.</t>
  </si>
  <si>
    <t>Pack de tesorería estándar con posición, forecast, desviaciones, deuda, riesgos, KPIs, owners y acciones.</t>
  </si>
  <si>
    <t>Rutinas integradas de liquidez con comité, decisiones, seguimiento de acciones, alertas, escenarios y beneficios esperados.</t>
  </si>
  <si>
    <t>Informes basados en IA, con narrativa ejecutiva, alertas, explicación de las desviaciones, escenarios y recomendaciones de liquidez.</t>
  </si>
  <si>
    <t>Generación de una visión ejecutiva de la salud financiera de la compañía; FinanceAI Insights Platform; Generación de análisis de desviaciones de cuentas con explicaciones inteligentes</t>
  </si>
  <si>
    <t>¿Existe pack de tesorería?
¿Se revisa en comités?
¿Se documentan decisiones y acciones?
¿Se reportan riesgos de liquidez?</t>
  </si>
  <si>
    <t>Pack de tesorería; actas de comité; KPIs; forecast; tracker de acciones; escenarios; reportes de desviación.</t>
  </si>
  <si>
    <t>Formalizar informes y rutinas de liquidez con un paquete estándar, decisiones, seguimiento de acciones, escenarios y recomendaciones ejecutivas.</t>
  </si>
  <si>
    <t>Inversiones</t>
  </si>
  <si>
    <t>5.1 Política de inversiones y gobierno de excedentes</t>
  </si>
  <si>
    <t>Evaluar si existe una política para invertir excedentes de caja alineada con liquidez, seguridad, rentabilidad, riesgo y cumplimiento.</t>
  </si>
  <si>
    <t>Decisiones de inversión de excedentes puntuales, con política limitada y baja trazabilidad de criterios de riesgo/rentabilidad.</t>
  </si>
  <si>
    <t>Política básica de inversiones, aunque con límites parciales, seguimiento manual y revisión poco frecuente.</t>
  </si>
  <si>
    <t>Política de inversiones definida con objetivos, instrumentos permitidos, límites, contrapartes, liquidez, aprobaciones y reporting.</t>
  </si>
  <si>
    <t>Gobierno integrado con cash forecast, riesgos financieros, límites de contraparte, escenarios, compliance y revisión periódica de performance.</t>
  </si>
  <si>
    <t>IA recomienda asignación de excedentes considerando liquidez futura, retorno, riesgo, límites, mercado y restricciones corporativas.</t>
  </si>
  <si>
    <t>Mejora del análisis de flujo de caja, minimizando riesgos de liquidez, mejorando la precisión de las previsiones y maximizando el rendimiento de la tesorería; Generación de estrategias de inversión; Herramienta predictiva de previsión de flujo de caja</t>
  </si>
  <si>
    <t>¿Existe política de inversiones?
¿Se definen límites e instrumentos?
¿Se conecta con liquidez futura?
¿Se reporta rentabilidad y riesgo?</t>
  </si>
  <si>
    <t>Política de inversiones; cartera; límites; aprobaciones; reportes de rentabilidad; cash forecast; rating contrapartes.</t>
  </si>
  <si>
    <t>Definir política y gobierno de inversiones de excedentes con límites, instrumentos, contrapartes, liquidez, informes y revisión periódica.</t>
  </si>
  <si>
    <t>5.2 Gestión de cartera, rentabilidad y riesgo de inversiones</t>
  </si>
  <si>
    <t>Evaluar si la cartera de inversiones se gestiona con visibilidad de rentabilidad, riesgo, liquidez, vencimientos y concentración.</t>
  </si>
  <si>
    <t>Cartera de inversiones monitorizada manualmente, con baja visibilidad agregada de riesgo, rendimiento y liquidez.</t>
  </si>
  <si>
    <t>Seguimiento básico de inversiones y vencimientos, aunque con análisis limitado de rendimiento ajustado por riesgo.</t>
  </si>
  <si>
    <t>Modelo estándar de cartera con valoración, rendimiento, vencimientos, liquidez, límites, contrapartes y reporting periódico.</t>
  </si>
  <si>
    <t>Gestión integrada con mercado, cash forecast, riesgos, accounting, compliance y decisiones de reinversión/desinversión.</t>
  </si>
  <si>
    <t>IA analiza rendimiento y riesgo, detecta concentración o desviaciones y recomienda rebalanceo o reinversión según escenarios.</t>
  </si>
  <si>
    <t>Generación de estrategias de inversión; Mejora del análisis de flujo de caja; Agentes de IA para trading algorítmico y simulación de mercado</t>
  </si>
  <si>
    <t>¿Se monitoriza rentabilidad y riesgo de la cartera?
¿Se controlan vencimientos y concentración?
¿Se conecta con liquidez y mercado?
¿Se revisa rebalanceo?</t>
  </si>
  <si>
    <t>Cartera de inversiones; valoración; rendimientos; vencimientos; límites; ratings; reportes de riesgo; decisiones de rebalanceo.</t>
  </si>
  <si>
    <t>Implantar gestión de cartera con rentabilidad ajustada por riesgo, vencimientos, límites, concentración y recomendaciones de reinversión.</t>
  </si>
  <si>
    <t>5.3 Integración de inversiones con liquidez y planificación financiera</t>
  </si>
  <si>
    <t>Evaluar si las decisiones de inversión se integran con necesidades futuras de caja, deuda, capital allocation y escenarios financieros.</t>
  </si>
  <si>
    <t>Inversiones gestionadas de forma separada del cash forecast y planificación financiera, con riesgo de desalineación de liquidez.</t>
  </si>
  <si>
    <t>Coordinación básica con liquidez esperada, aunque con escenarios limitados y revisión manual.</t>
  </si>
  <si>
    <t>Proceso definido para conectar inversiones con cash forecast, horizonte de liquidez, vencimientos, deuda y restricciones.</t>
  </si>
  <si>
    <t>Integración completa con planificación financiera, estructura de capital, riesgos, escenarios, inversiones operativas y capital allocation.</t>
  </si>
  <si>
    <t>IA simula liquidez futura, necesidades de financiación y oportunidades de inversión, recomendando asignación óptima de excedentes.</t>
  </si>
  <si>
    <t>Herramienta predictiva de previsión de flujo de caja; Generación de estrategias de inversión; Identificación de patrones históricos para predecir y mejorar el rendimiento financiero futuro</t>
  </si>
  <si>
    <t>¿Las inversiones se conectan con cash forecast?
¿Se consideran necesidades futuras de liquidez?
¿Se evalúan escenarios?
¿Se alinea con deuda/capital allocation?</t>
  </si>
  <si>
    <t>Cash forecast; plan financiero; cartera de inversiones; vencimientos; escenarios; decisiones de inversión/desinversión; comités.</t>
  </si>
  <si>
    <t>Diseñar proceso integrado de inversiones y liquidez con escenarios, restricciones, vencimientos, necesidades futuras y asignación de capital.</t>
  </si>
  <si>
    <t>5.4 Reporting, cumplimiento y control de inversiones</t>
  </si>
  <si>
    <t>Evaluar si las inversiones se reportan y controlan con criterios de cumplimiento, límites, performance, riesgos y evidencias de decisión.</t>
  </si>
  <si>
    <t>Reporting de inversiones manual y disperso, con baja trazabilidad de decisiones, límites y cumplimiento de política.</t>
  </si>
  <si>
    <t>Reportes periódicos básicos, aunque con controles manuales de límites y documentación parcial.</t>
  </si>
  <si>
    <t>Reporting estándar de inversiones con rentabilidad, riesgo, límites, cumplimiento, vencimientos, contrapartes y aprobaciones.</t>
  </si>
  <si>
    <t>Control integrado con workflows, alertas de límites, evidencias, accounting, compliance y revisión de performance.</t>
  </si>
  <si>
    <t>IA genera los informes ejecutivos, detecta incumplimientos potenciales, explica las variaciones y recomienda acciones correctivas.</t>
  </si>
  <si>
    <t>Generación de una visión ejecutiva de la salud financiera de la compañía; FinanceAI Insights Platform; Monitorización predictiva del cumplimiento</t>
  </si>
  <si>
    <t>¿Se reporta cumplimiento de política?
¿Se controlan límites y excepciones?
¿Se documentan decisiones?
¿Se explica performance?</t>
  </si>
  <si>
    <t>Reporting de inversiones; policy compliance; excepciones; aprobaciones; logs; actas de comité; análisis de rendimiento/riesgo.</t>
  </si>
  <si>
    <t>Crear informes y control de inversiones con límites, evidencias, alertas, rentabilidad, cumplimiento y decisiones trazables.</t>
  </si>
  <si>
    <t>Score global dominio</t>
  </si>
  <si>
    <t>Procesos</t>
  </si>
  <si>
    <t>Tecnología</t>
  </si>
  <si>
    <t>Organización</t>
  </si>
  <si>
    <t>Score medio</t>
  </si>
  <si>
    <t>Gap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</si>
  <si>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</si>
  <si>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</si>
  <si>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</si>
  <si>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</si>
  <si>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</si>
  <si>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</si>
  <si>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</si>
  <si>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</si>
  <si>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</si>
  <si>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</si>
  <si>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</si>
  <si>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Proceso inexistente, manual o ad hoc.</t>
  </si>
  <si>
    <t>Proceso parcial, definido con variabilidad y dependencias manuales.</t>
  </si>
  <si>
    <t>Proceso documentado, homogéneo y repetible.</t>
  </si>
  <si>
    <t>Proceso medido, eficiente, con controles y mejora continua.</t>
  </si>
  <si>
    <t>Nivel 5 - Avanzado</t>
  </si>
  <si>
    <t>Proceso integrado end-to-end, orientado a decisión y habilitado por automatización/AI cuando aplique.</t>
  </si>
  <si>
    <t>TECNOLOGÍA</t>
  </si>
  <si>
    <t>Excel/manual, sin integración.</t>
  </si>
  <si>
    <t>Herramientas parciales o locales, con baja integración.</t>
  </si>
  <si>
    <t>Herramienta corporativa y reglas definidas.</t>
  </si>
  <si>
    <t>Integración end-to-end, automatización y controles tecnológicos.</t>
  </si>
  <si>
    <t>Analítica avanzada, AI/GenAI, detección predictiva, autoservicio o workflow inteligente.</t>
  </si>
  <si>
    <t>ORGANIZACIÓN</t>
  </si>
  <si>
    <t>Roles poco claros y alta dependencia de personas.</t>
  </si>
  <si>
    <t>Roles parcialmente definidos y coordinación manual.</t>
  </si>
  <si>
    <t>Roles, ownership y accountability claros.</t>
  </si>
  <si>
    <t>Organización alineada con procesos, KPIs y mejora continua.</t>
  </si>
  <si>
    <t>Equipos orientados a gestión de liquidez, riesgos financieros, mercados y generación de valor.</t>
  </si>
  <si>
    <t>REGLAS DE ORO</t>
  </si>
  <si>
    <t>1</t>
  </si>
  <si>
    <t>Puntuar el estado actual, no el objetivo.</t>
  </si>
  <si>
    <t>2</t>
  </si>
  <si>
    <t>No mezclar palancas: procesos, tecnología y organización se puntúan por separado.</t>
  </si>
  <si>
    <t>3</t>
  </si>
  <si>
    <t>Sustentar cada score con evidencias.</t>
  </si>
  <si>
    <t>4</t>
  </si>
  <si>
    <t>No sobrevalorar la tecnología si el proceso o la adopción no están maduros.</t>
  </si>
  <si>
    <t>F3M - Tesorería | Assessment-ready con AI</t>
  </si>
  <si>
    <t>Uso del fichero</t>
  </si>
  <si>
    <t>1. En Assessment, puntuar cada subcapacidad en las tres palancas: Procesos, Tecnología y Organización.
2. Utilizar valores enteros de 1 a 5, donde 1 = Inicial y 5 = Avanzado/Referente.
3. El Score Medio, Nivel resultante, Gap y Prioridad se calculan automáticamente.
4. Objetivo de madurez utilizado para el gap: Nivel 4 - Optimizado.
5. Resumen consolida resultados por capacidad y gráfico ejecutivo.
6. Heatmap facilita la lectura visual por subcapacidad y palanca.
7. Roadmap convierte gaps en iniciativas sugeridas y oleadas.</t>
  </si>
  <si>
    <t>Dominio</t>
  </si>
  <si>
    <t>Tesorería: Control y tratamiento contable, Gestión de riesgos financieros, Mercados de deuda y capitales, Gestión de cash flow y reporte e Inversiones.</t>
  </si>
  <si>
    <t>Escala F3M</t>
  </si>
  <si>
    <t>1 - Inicial: modelo básico, reactivo, heterogéneo y poco formalizado.
2 - Estructurado: prácticas definidas, con consistencia parcial y dependencias manuales.
3 - Estandarizado: modelo homogéneo, documentado, consistente y controlado.
4 - Optimizado: modelo integrado, medido, con mejora continua y foco en eficiencia/control.
5 - Avanzado/Referente: modelo maduro, predictivo, AI-enabled y orientado a liquidez, riesgo y valor.</t>
  </si>
  <si>
    <t>AI Overlay</t>
  </si>
  <si>
    <t>Los casos de uso AI se han mapeado desde F3M_AI_Mapping_Consolidado_v1.xlsx. En capacidades con cobertura limitada se han usado casos por analogía funcional, especialmente para reporting financiero y datos maestros de tesorería.</t>
  </si>
  <si>
    <t>Buenas prácticas</t>
  </si>
  <si>
    <t>Evaluar situación actual, sustentar el score con evidencias, separar las tres palancas, validar resultados con responsables de Tesorería y preservar la conexión entre liquidez, riesgos, financiación e inversiones.</t>
  </si>
  <si>
    <t xml:space="preserve">Detección de asientos inusuales en el cierre; Detección de inconsistencias en datos maestros; Análisis de desviaciones con explicación automática</t>
  </si>
  <si>
    <t xml:space="preserve">Detección de provisiones omitidas; Análisis de desviaciones con explicación automática; Conciliación a nivel de transacción</t>
  </si>
  <si>
    <t xml:space="preserve">Detección de inconsistencias en datos maestros; Flujos guiados de cambio en datos maestros; Generación de documentación de metadatos</t>
  </si>
  <si>
    <t xml:space="preserve">Visión ejecutiva de la salud financiera; Análisis de desviaciones con explicación automática; Analista digital de Finanzas bajo demanda</t>
  </si>
  <si>
    <t xml:space="preserve">Optimización de operaciones de divisa; Agentes de IA para análisis de riesgo crediticio; Monitorización predictiva del cumplimiento</t>
  </si>
  <si>
    <t xml:space="preserve">Optimización de operaciones de divisa; Generación de estrategias de inversión</t>
  </si>
  <si>
    <t xml:space="preserve">Agentes de IA para análisis de riesgo crediticio; Valoración predictiva de la compañía</t>
  </si>
  <si>
    <t xml:space="preserve">Previsión predictiva de flujo de caja; Optimización de operaciones de divisa; Patrones históricos para predecir el rendimiento</t>
  </si>
  <si>
    <t xml:space="preserve">Generación de estrategias de inversión; Valoración predictiva de la compañía; Visión ejecutiva de la salud financiera</t>
  </si>
  <si>
    <t xml:space="preserve">Visión ejecutiva de la salud financiera; Previsión predictiva de flujo de caja; Informes de investigación y KYC</t>
  </si>
  <si>
    <t xml:space="preserve">Agentes de IA para trading y simulación de mercado; Generación de estrategias de inversión; Valoración predictiva de la compañía</t>
  </si>
  <si>
    <t xml:space="preserve">Inteligencia de mercado; Generación de estrategias de inversión; Agentes de IA para trading y simulación de mercado</t>
  </si>
  <si>
    <t xml:space="preserve">Previsión predictiva de flujo de caja; Análisis de caja y riesgo de liquidez; Optimización de la liquidez intradía</t>
  </si>
  <si>
    <t xml:space="preserve">Optimización de la liquidez intradía; Análisis de caja y riesgo de liquidez; Consulta del dato en lenguaje natural</t>
  </si>
  <si>
    <t xml:space="preserve">Condiciones de pago óptimas para el DSO; Momento óptimo de pago a proveedores; Gestión dinámica de inventario</t>
  </si>
  <si>
    <t xml:space="preserve">Visión ejecutiva de la salud financiera; Analista digital de Finanzas bajo demanda; Análisis de desviaciones con explicación automática</t>
  </si>
  <si>
    <t xml:space="preserve">Análisis de caja y riesgo de liquidez; Generación de estrategias de inversión; Previsión predictiva de flujo de caja</t>
  </si>
  <si>
    <t xml:space="preserve">Generación de estrategias de inversión; Análisis de caja y riesgo de liquidez; Agentes de IA para trading y simulación de mercado</t>
  </si>
  <si>
    <t xml:space="preserve">Previsión predictiva de flujo de caja; Generación de estrategias de inversión; Patrones históricos para predecir el rendimiento</t>
  </si>
  <si>
    <t xml:space="preserve">Visión ejecutiva de la salud financiera; Analista digital de Finanzas bajo demanda; Monitorización predictiva del cumplimiento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</si>
</sst>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49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medio por capacidad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Resumen!$A$2:$A$6</c:f>
              <c:strCache>
                <c:ptCount val="5"/>
                <c:pt idx="0">
                  <c:v>Control y tratamiento contable</c:v>
                </c:pt>
                <c:pt idx="1">
                  <c:v>Gestión de riesgos financieros</c:v>
                </c:pt>
                <c:pt idx="2">
                  <c:v>Mercados de deuda y capitales</c:v>
                </c:pt>
                <c:pt idx="3">
                  <c:v>Gestión de cash flow y reporte</c:v>
                </c:pt>
                <c:pt idx="4">
                  <c:v>Inversiones</c:v>
                </c:pt>
              </c:strCache>
            </c:strRef>
          </c:cat>
          <c:val>
            <c:numRef>
              <c:f>Resumen!$E$2:$E$6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3-4073-B794-45176F6D0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pane ySplit="1" topLeftCell="A18" activePane="bottomLeft" state="frozen"/>
      <selection pane="bottomLeft" activeCell="A22" sqref="A22"/>
    </sheetView>
  </sheetViews>
  <sheetFormatPr defaultRowHeight="14.4" x14ac:dyDescent="0.3"/>
  <cols>
    <col min="1" max="1" width="34" customWidth="1"/>
    <col min="2" max="2" width="50" customWidth="1"/>
    <col min="3" max="7" width="56" customWidth="1"/>
    <col min="8" max="9" width="60" customWidth="1"/>
    <col min="10" max="11" width="14" customWidth="1"/>
    <col min="12" max="12" width="16" customWidth="1"/>
    <col min="13" max="13" width="13" customWidth="1"/>
    <col min="14" max="14" width="22" customWidth="1"/>
    <col min="15" max="16" width="14" customWidth="1"/>
    <col min="17" max="17" width="45" customWidth="1"/>
    <col min="18" max="18" width="48" customWidth="1"/>
    <col min="19" max="19" width="60" customWidth="1"/>
    <col min="20" max="20" width="3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4.9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300</v>
      </c>
      <c r="J2" s="2"/>
      <c r="K2" s="2"/>
      <c r="L2" s="2"/>
      <c r="M2" s="2" t="str">
        <f t="shared" ref="M2:M21" si="0">IF(COUNT(J2:L2)=0,"",ROUND(AVERAGE(J2:L2),0))</f>
        <v/>
      </c>
      <c r="N2" s="2" t="str">
        <f t="shared" ref="N2:N21" si="1">IF(M2="","",CHOOSE(M2,"1 - Inicial","2 - Estructurado","3 - Estandarizado","4 - Optimizado","5 - Avanzado/Referente"))</f>
        <v/>
      </c>
      <c r="O2" s="2" t="str">
        <f t="shared" ref="O2:O21" si="2">IF(M2="","",MAX(0,4-M2))</f>
        <v/>
      </c>
      <c r="P2" s="2" t="str">
        <f t="shared" ref="P2:P21" si="3">IF(O2="","",IF(O2&gt;=3,"Alta",IF(O2=2,"Media",IF(O2=1,"Media","Baja"))))</f>
        <v/>
      </c>
      <c r="Q2" s="2" t="s">
        <v>29</v>
      </c>
      <c r="R2" s="2" t="s">
        <v>30</v>
      </c>
      <c r="S2" s="2" t="s">
        <v>31</v>
      </c>
      <c r="T2" s="2"/>
    </row>
    <row r="3" spans="1:20" ht="84.9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301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84.9" customHeight="1" x14ac:dyDescent="0.3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302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84.9" customHeight="1" x14ac:dyDescent="0.3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303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84.9" customHeight="1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304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84.9" customHeight="1" x14ac:dyDescent="0.3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305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84.9" customHeight="1" x14ac:dyDescent="0.3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306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84.9" customHeight="1" x14ac:dyDescent="0.3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307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84.9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308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84.9" customHeight="1" x14ac:dyDescent="0.3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309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84.9" customHeight="1" x14ac:dyDescent="0.3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310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84.9" customHeight="1" x14ac:dyDescent="0.3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311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  <row r="14" spans="1:20" ht="84.9" customHeight="1" x14ac:dyDescent="0.3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312</v>
      </c>
      <c r="J14" s="2"/>
      <c r="K14" s="2"/>
      <c r="L14" s="2"/>
      <c r="M14" s="2" t="str">
        <f t="shared" si="0"/>
        <v/>
      </c>
      <c r="N14" s="2" t="str">
        <f t="shared" si="1"/>
        <v/>
      </c>
      <c r="O14" s="2" t="str">
        <f t="shared" si="2"/>
        <v/>
      </c>
      <c r="P14" s="2" t="str">
        <f t="shared" si="3"/>
        <v/>
      </c>
      <c r="Q14" s="2" t="s">
        <v>164</v>
      </c>
      <c r="R14" s="2" t="s">
        <v>165</v>
      </c>
      <c r="S14" s="2" t="s">
        <v>166</v>
      </c>
      <c r="T14" s="2"/>
    </row>
    <row r="15" spans="1:20" ht="84.9" customHeight="1" x14ac:dyDescent="0.3">
      <c r="A15" s="2" t="s">
        <v>155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2" t="s">
        <v>313</v>
      </c>
      <c r="J15" s="2"/>
      <c r="K15" s="2"/>
      <c r="L15" s="2"/>
      <c r="M15" s="2" t="str">
        <f t="shared" si="0"/>
        <v/>
      </c>
      <c r="N15" s="2" t="str">
        <f t="shared" si="1"/>
        <v/>
      </c>
      <c r="O15" s="2" t="str">
        <f t="shared" si="2"/>
        <v/>
      </c>
      <c r="P15" s="2" t="str">
        <f t="shared" si="3"/>
        <v/>
      </c>
      <c r="Q15" s="2" t="s">
        <v>175</v>
      </c>
      <c r="R15" s="2" t="s">
        <v>176</v>
      </c>
      <c r="S15" s="2" t="s">
        <v>177</v>
      </c>
      <c r="T15" s="2"/>
    </row>
    <row r="16" spans="1:20" ht="84.9" customHeight="1" x14ac:dyDescent="0.3">
      <c r="A16" s="2" t="s">
        <v>155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314</v>
      </c>
      <c r="J16" s="2"/>
      <c r="K16" s="2"/>
      <c r="L16" s="2"/>
      <c r="M16" s="2" t="str">
        <f t="shared" si="0"/>
        <v/>
      </c>
      <c r="N16" s="2" t="str">
        <f t="shared" si="1"/>
        <v/>
      </c>
      <c r="O16" s="2" t="str">
        <f t="shared" si="2"/>
        <v/>
      </c>
      <c r="P16" s="2" t="str">
        <f t="shared" si="3"/>
        <v/>
      </c>
      <c r="Q16" s="2" t="s">
        <v>186</v>
      </c>
      <c r="R16" s="2" t="s">
        <v>187</v>
      </c>
      <c r="S16" s="2" t="s">
        <v>188</v>
      </c>
      <c r="T16" s="2"/>
    </row>
    <row r="17" spans="1:20" ht="84.9" customHeight="1" x14ac:dyDescent="0.3">
      <c r="A17" s="2" t="s">
        <v>155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193</v>
      </c>
      <c r="G17" s="2" t="s">
        <v>194</v>
      </c>
      <c r="H17" s="2" t="s">
        <v>195</v>
      </c>
      <c r="I17" s="2" t="s">
        <v>315</v>
      </c>
      <c r="J17" s="2"/>
      <c r="K17" s="2"/>
      <c r="L17" s="2"/>
      <c r="M17" s="2" t="str">
        <f t="shared" si="0"/>
        <v/>
      </c>
      <c r="N17" s="2" t="str">
        <f t="shared" si="1"/>
        <v/>
      </c>
      <c r="O17" s="2" t="str">
        <f t="shared" si="2"/>
        <v/>
      </c>
      <c r="P17" s="2" t="str">
        <f t="shared" si="3"/>
        <v/>
      </c>
      <c r="Q17" s="2" t="s">
        <v>197</v>
      </c>
      <c r="R17" s="2" t="s">
        <v>198</v>
      </c>
      <c r="S17" s="2" t="s">
        <v>199</v>
      </c>
      <c r="T17" s="2"/>
    </row>
    <row r="18" spans="1:20" ht="84.9" customHeight="1" x14ac:dyDescent="0.3">
      <c r="A18" s="2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206</v>
      </c>
      <c r="H18" s="2" t="s">
        <v>207</v>
      </c>
      <c r="I18" s="2" t="s">
        <v>316</v>
      </c>
      <c r="J18" s="2"/>
      <c r="K18" s="2"/>
      <c r="L18" s="2"/>
      <c r="M18" s="2" t="str">
        <f t="shared" si="0"/>
        <v/>
      </c>
      <c r="N18" s="2" t="str">
        <f t="shared" si="1"/>
        <v/>
      </c>
      <c r="O18" s="2" t="str">
        <f t="shared" si="2"/>
        <v/>
      </c>
      <c r="P18" s="2" t="str">
        <f t="shared" si="3"/>
        <v/>
      </c>
      <c r="Q18" s="2" t="s">
        <v>209</v>
      </c>
      <c r="R18" s="2" t="s">
        <v>210</v>
      </c>
      <c r="S18" s="2" t="s">
        <v>211</v>
      </c>
      <c r="T18" s="2"/>
    </row>
    <row r="19" spans="1:20" ht="84.9" customHeight="1" x14ac:dyDescent="0.3">
      <c r="A19" s="2" t="s">
        <v>200</v>
      </c>
      <c r="B19" s="2" t="s">
        <v>212</v>
      </c>
      <c r="C19" s="2" t="s">
        <v>213</v>
      </c>
      <c r="D19" s="2" t="s">
        <v>214</v>
      </c>
      <c r="E19" s="2" t="s">
        <v>215</v>
      </c>
      <c r="F19" s="2" t="s">
        <v>216</v>
      </c>
      <c r="G19" s="2" t="s">
        <v>217</v>
      </c>
      <c r="H19" s="2" t="s">
        <v>218</v>
      </c>
      <c r="I19" s="2" t="s">
        <v>317</v>
      </c>
      <c r="J19" s="2"/>
      <c r="K19" s="2"/>
      <c r="L19" s="2"/>
      <c r="M19" s="2" t="str">
        <f t="shared" si="0"/>
        <v/>
      </c>
      <c r="N19" s="2" t="str">
        <f t="shared" si="1"/>
        <v/>
      </c>
      <c r="O19" s="2" t="str">
        <f t="shared" si="2"/>
        <v/>
      </c>
      <c r="P19" s="2" t="str">
        <f t="shared" si="3"/>
        <v/>
      </c>
      <c r="Q19" s="2" t="s">
        <v>220</v>
      </c>
      <c r="R19" s="2" t="s">
        <v>221</v>
      </c>
      <c r="S19" s="2" t="s">
        <v>222</v>
      </c>
      <c r="T19" s="2"/>
    </row>
    <row r="20" spans="1:20" ht="84.9" customHeight="1" x14ac:dyDescent="0.3">
      <c r="A20" s="2" t="s">
        <v>200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228</v>
      </c>
      <c r="H20" s="2" t="s">
        <v>229</v>
      </c>
      <c r="I20" s="2" t="s">
        <v>318</v>
      </c>
      <c r="J20" s="2"/>
      <c r="K20" s="2"/>
      <c r="L20" s="2"/>
      <c r="M20" s="2" t="str">
        <f t="shared" si="0"/>
        <v/>
      </c>
      <c r="N20" s="2" t="str">
        <f t="shared" si="1"/>
        <v/>
      </c>
      <c r="O20" s="2" t="str">
        <f t="shared" si="2"/>
        <v/>
      </c>
      <c r="P20" s="2" t="str">
        <f t="shared" si="3"/>
        <v/>
      </c>
      <c r="Q20" s="2" t="s">
        <v>231</v>
      </c>
      <c r="R20" s="2" t="s">
        <v>232</v>
      </c>
      <c r="S20" s="2" t="s">
        <v>233</v>
      </c>
      <c r="T20" s="2"/>
    </row>
    <row r="21" spans="1:20" ht="84.9" customHeight="1" x14ac:dyDescent="0.3">
      <c r="A21" s="2" t="s">
        <v>200</v>
      </c>
      <c r="B21" s="2" t="s">
        <v>234</v>
      </c>
      <c r="C21" s="2" t="s">
        <v>235</v>
      </c>
      <c r="D21" s="2" t="s">
        <v>236</v>
      </c>
      <c r="E21" s="2" t="s">
        <v>237</v>
      </c>
      <c r="F21" s="2" t="s">
        <v>238</v>
      </c>
      <c r="G21" s="2" t="s">
        <v>239</v>
      </c>
      <c r="H21" s="2" t="s">
        <v>240</v>
      </c>
      <c r="I21" s="2" t="s">
        <v>319</v>
      </c>
      <c r="J21" s="2"/>
      <c r="K21" s="2"/>
      <c r="L21" s="2"/>
      <c r="M21" s="2" t="str">
        <f t="shared" si="0"/>
        <v/>
      </c>
      <c r="N21" s="2" t="str">
        <f t="shared" si="1"/>
        <v/>
      </c>
      <c r="O21" s="2" t="str">
        <f t="shared" si="2"/>
        <v/>
      </c>
      <c r="P21" s="2" t="str">
        <f t="shared" si="3"/>
        <v/>
      </c>
      <c r="Q21" s="2" t="s">
        <v>242</v>
      </c>
      <c r="R21" s="2" t="s">
        <v>243</v>
      </c>
      <c r="S21" s="2" t="s">
        <v>244</v>
      </c>
      <c r="T21" s="2"/>
    </row>
  </sheetData>
  <autoFilter ref="A1:T21" xr:uid="{00000000-0009-0000-0000-000000000000}"/>
  <conditionalFormatting sqref="J2:M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21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dataValidations count="1">
    <dataValidation type="whole" allowBlank="1" errorTitle="Score no válido" error="Introduce un valor entero entre 1 y 5." sqref="J2:L21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7" width="18" customWidth="1"/>
  </cols>
  <sheetData>
    <row r="1" spans="1:7" ht="30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</v>
      </c>
      <c r="G1" s="3" t="s">
        <v>15</v>
      </c>
    </row>
    <row r="2" spans="1:7" ht="30" customHeight="1" x14ac:dyDescent="0.3">
      <c r="A2" s="4" t="s">
        <v>20</v>
      </c>
      <c r="B2" s="4" t="str">
        <f>IFERROR(ROUND(AVERAGEIF(Assessment!$A:$A,A2,Assessment!$J:$J),0),"")</f>
        <v/>
      </c>
      <c r="C2" s="4" t="str">
        <f>IFERROR(ROUND(AVERAGEIF(Assessment!$A:$A,A2,Assessment!$K:$K),0),"")</f>
        <v/>
      </c>
      <c r="D2" s="4" t="str">
        <f>IFERROR(ROUND(AVERAGEIF(Assessment!$A:$A,A2,Assessment!$L:$L),0),"")</f>
        <v/>
      </c>
      <c r="E2" s="4" t="str">
        <f>IFERROR(ROUND(AVERAGE(B2:D2),0),"")</f>
        <v/>
      </c>
      <c r="F2" s="4" t="str">
        <f t="shared" ref="F2:F7" si="0">IF(E2="","",MAX(0,4-E2))</f>
        <v/>
      </c>
      <c r="G2" s="4" t="str">
        <f t="shared" ref="G2:G7" si="1">IF(F2="","",IF(F2&gt;=3,"Alta",IF(F2=2,"Media",IF(F2=1,"Media","Baja"))))</f>
        <v/>
      </c>
    </row>
    <row r="3" spans="1:7" ht="30" customHeight="1" x14ac:dyDescent="0.3">
      <c r="A3" s="4" t="s">
        <v>65</v>
      </c>
      <c r="B3" s="4" t="str">
        <f>IFERROR(ROUND(AVERAGEIF(Assessment!$A:$A,A3,Assessment!$J:$J),0),"")</f>
        <v/>
      </c>
      <c r="C3" s="4" t="str">
        <f>IFERROR(ROUND(AVERAGEIF(Assessment!$A:$A,A3,Assessment!$K:$K),0),"")</f>
        <v/>
      </c>
      <c r="D3" s="4" t="str">
        <f>IFERROR(ROUND(AVERAGEIF(Assessment!$A:$A,A3,Assessment!$L:$L),0),"")</f>
        <v/>
      </c>
      <c r="E3" s="4" t="str">
        <f>IFERROR(ROUND(AVERAGE(B3:D3),0),"")</f>
        <v/>
      </c>
      <c r="F3" s="4" t="str">
        <f t="shared" si="0"/>
        <v/>
      </c>
      <c r="G3" s="4" t="str">
        <f t="shared" si="1"/>
        <v/>
      </c>
    </row>
    <row r="4" spans="1:7" ht="30" customHeight="1" x14ac:dyDescent="0.3">
      <c r="A4" s="4" t="s">
        <v>110</v>
      </c>
      <c r="B4" s="4" t="str">
        <f>IFERROR(ROUND(AVERAGEIF(Assessment!$A:$A,A4,Assessment!$J:$J),0),"")</f>
        <v/>
      </c>
      <c r="C4" s="4" t="str">
        <f>IFERROR(ROUND(AVERAGEIF(Assessment!$A:$A,A4,Assessment!$K:$K),0),"")</f>
        <v/>
      </c>
      <c r="D4" s="4" t="str">
        <f>IFERROR(ROUND(AVERAGEIF(Assessment!$A:$A,A4,Assessment!$L:$L),0),"")</f>
        <v/>
      </c>
      <c r="E4" s="4" t="str">
        <f>IFERROR(ROUND(AVERAGE(B4:D4),0),"")</f>
        <v/>
      </c>
      <c r="F4" s="4" t="str">
        <f t="shared" si="0"/>
        <v/>
      </c>
      <c r="G4" s="4" t="str">
        <f t="shared" si="1"/>
        <v/>
      </c>
    </row>
    <row r="5" spans="1:7" ht="30" customHeight="1" x14ac:dyDescent="0.3">
      <c r="A5" s="4" t="s">
        <v>155</v>
      </c>
      <c r="B5" s="4" t="str">
        <f>IFERROR(ROUND(AVERAGEIF(Assessment!$A:$A,A5,Assessment!$J:$J),0),"")</f>
        <v/>
      </c>
      <c r="C5" s="4" t="str">
        <f>IFERROR(ROUND(AVERAGEIF(Assessment!$A:$A,A5,Assessment!$K:$K),0),"")</f>
        <v/>
      </c>
      <c r="D5" s="4" t="str">
        <f>IFERROR(ROUND(AVERAGEIF(Assessment!$A:$A,A5,Assessment!$L:$L),0),"")</f>
        <v/>
      </c>
      <c r="E5" s="4" t="str">
        <f>IFERROR(ROUND(AVERAGE(B5:D5),0),"")</f>
        <v/>
      </c>
      <c r="F5" s="4" t="str">
        <f t="shared" si="0"/>
        <v/>
      </c>
      <c r="G5" s="4" t="str">
        <f t="shared" si="1"/>
        <v/>
      </c>
    </row>
    <row r="6" spans="1:7" ht="30" customHeight="1" x14ac:dyDescent="0.3">
      <c r="A6" s="4" t="s">
        <v>200</v>
      </c>
      <c r="B6" s="4" t="str">
        <f>IFERROR(ROUND(AVERAGEIF(Assessment!$A:$A,A6,Assessment!$J:$J),0),"")</f>
        <v/>
      </c>
      <c r="C6" s="4" t="str">
        <f>IFERROR(ROUND(AVERAGEIF(Assessment!$A:$A,A6,Assessment!$K:$K),0),"")</f>
        <v/>
      </c>
      <c r="D6" s="4" t="str">
        <f>IFERROR(ROUND(AVERAGEIF(Assessment!$A:$A,A6,Assessment!$L:$L),0),"")</f>
        <v/>
      </c>
      <c r="E6" s="4" t="str">
        <f>IFERROR(ROUND(AVERAGE(B6:D6),0),"")</f>
        <v/>
      </c>
      <c r="F6" s="4" t="str">
        <f t="shared" si="0"/>
        <v/>
      </c>
      <c r="G6" s="4" t="str">
        <f t="shared" si="1"/>
        <v/>
      </c>
    </row>
    <row r="7" spans="1:7" ht="30" customHeight="1" x14ac:dyDescent="0.3">
      <c r="A7" s="4" t="s">
        <v>245</v>
      </c>
      <c r="B7" s="4" t="str">
        <f>IFERROR(ROUND(AVERAGE(B2:B6),0),"")</f>
        <v/>
      </c>
      <c r="C7" s="4" t="str">
        <f>IFERROR(ROUND(AVERAGE(C2:C6),0),"")</f>
        <v/>
      </c>
      <c r="D7" s="4" t="str">
        <f>IFERROR(ROUND(AVERAGE(D2:D6),0),"")</f>
        <v/>
      </c>
      <c r="E7" s="4" t="str">
        <f>IFERROR(ROUND(AVERAGE(E2:E6),0),"")</f>
        <v/>
      </c>
      <c r="F7" s="4" t="str">
        <f t="shared" si="0"/>
        <v/>
      </c>
      <c r="G7" s="4" t="str">
        <f t="shared" si="1"/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15</v>
      </c>
    </row>
    <row r="2" spans="1:8" ht="84.9" customHeight="1" x14ac:dyDescent="0.3">
      <c r="A2" s="2" t="s">
        <v>20</v>
      </c>
      <c r="B2" s="2" t="s">
        <v>21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</row>
    <row r="3" spans="1:8" ht="84.9" customHeight="1" x14ac:dyDescent="0.3">
      <c r="A3" s="2" t="s">
        <v>20</v>
      </c>
      <c r="B3" s="2" t="s">
        <v>32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</row>
    <row r="4" spans="1:8" ht="84.9" customHeight="1" x14ac:dyDescent="0.3">
      <c r="A4" s="2" t="s">
        <v>20</v>
      </c>
      <c r="B4" s="2" t="s">
        <v>43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</row>
    <row r="5" spans="1:8" ht="84.9" customHeight="1" x14ac:dyDescent="0.3">
      <c r="A5" s="2" t="s">
        <v>20</v>
      </c>
      <c r="B5" s="2" t="s">
        <v>54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</row>
    <row r="6" spans="1:8" ht="84.9" customHeight="1" x14ac:dyDescent="0.3">
      <c r="A6" s="2" t="s">
        <v>65</v>
      </c>
      <c r="B6" s="2" t="s">
        <v>66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</row>
    <row r="7" spans="1:8" ht="84.9" customHeight="1" x14ac:dyDescent="0.3">
      <c r="A7" s="2" t="s">
        <v>65</v>
      </c>
      <c r="B7" s="2" t="s">
        <v>77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</row>
    <row r="8" spans="1:8" ht="84.9" customHeight="1" x14ac:dyDescent="0.3">
      <c r="A8" s="2" t="s">
        <v>65</v>
      </c>
      <c r="B8" s="2" t="s">
        <v>88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</row>
    <row r="9" spans="1:8" ht="84.9" customHeight="1" x14ac:dyDescent="0.3">
      <c r="A9" s="2" t="s">
        <v>65</v>
      </c>
      <c r="B9" s="2" t="s">
        <v>99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</row>
    <row r="10" spans="1:8" ht="84.9" customHeight="1" x14ac:dyDescent="0.3">
      <c r="A10" s="2" t="s">
        <v>110</v>
      </c>
      <c r="B10" s="2" t="s">
        <v>111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</row>
    <row r="11" spans="1:8" ht="84.9" customHeight="1" x14ac:dyDescent="0.3">
      <c r="A11" s="2" t="s">
        <v>110</v>
      </c>
      <c r="B11" s="2" t="s">
        <v>122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</row>
    <row r="12" spans="1:8" ht="84.9" customHeight="1" x14ac:dyDescent="0.3">
      <c r="A12" s="2" t="s">
        <v>110</v>
      </c>
      <c r="B12" s="2" t="s">
        <v>133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</row>
    <row r="13" spans="1:8" ht="84.9" customHeight="1" x14ac:dyDescent="0.3">
      <c r="A13" s="2" t="s">
        <v>110</v>
      </c>
      <c r="B13" s="2" t="s">
        <v>144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</row>
    <row r="14" spans="1:8" ht="84.9" customHeight="1" x14ac:dyDescent="0.3">
      <c r="A14" s="2" t="s">
        <v>155</v>
      </c>
      <c r="B14" s="2" t="s">
        <v>156</v>
      </c>
      <c r="C14" s="2">
        <f>Assessment!J14</f>
        <v>0</v>
      </c>
      <c r="D14" s="2">
        <f>Assessment!K14</f>
        <v>0</v>
      </c>
      <c r="E14" s="2">
        <f>Assessment!L14</f>
        <v>0</v>
      </c>
      <c r="F14" s="2" t="str">
        <f>Assessment!M14</f>
        <v/>
      </c>
      <c r="G14" s="2" t="str">
        <f>Assessment!O14</f>
        <v/>
      </c>
      <c r="H14" s="2" t="str">
        <f>Assessment!P14</f>
        <v/>
      </c>
    </row>
    <row r="15" spans="1:8" ht="84.9" customHeight="1" x14ac:dyDescent="0.3">
      <c r="A15" s="2" t="s">
        <v>155</v>
      </c>
      <c r="B15" s="2" t="s">
        <v>167</v>
      </c>
      <c r="C15" s="2">
        <f>Assessment!J15</f>
        <v>0</v>
      </c>
      <c r="D15" s="2">
        <f>Assessment!K15</f>
        <v>0</v>
      </c>
      <c r="E15" s="2">
        <f>Assessment!L15</f>
        <v>0</v>
      </c>
      <c r="F15" s="2" t="str">
        <f>Assessment!M15</f>
        <v/>
      </c>
      <c r="G15" s="2" t="str">
        <f>Assessment!O15</f>
        <v/>
      </c>
      <c r="H15" s="2" t="str">
        <f>Assessment!P15</f>
        <v/>
      </c>
    </row>
    <row r="16" spans="1:8" ht="84.9" customHeight="1" x14ac:dyDescent="0.3">
      <c r="A16" s="2" t="s">
        <v>155</v>
      </c>
      <c r="B16" s="2" t="s">
        <v>178</v>
      </c>
      <c r="C16" s="2">
        <f>Assessment!J16</f>
        <v>0</v>
      </c>
      <c r="D16" s="2">
        <f>Assessment!K16</f>
        <v>0</v>
      </c>
      <c r="E16" s="2">
        <f>Assessment!L16</f>
        <v>0</v>
      </c>
      <c r="F16" s="2" t="str">
        <f>Assessment!M16</f>
        <v/>
      </c>
      <c r="G16" s="2" t="str">
        <f>Assessment!O16</f>
        <v/>
      </c>
      <c r="H16" s="2" t="str">
        <f>Assessment!P16</f>
        <v/>
      </c>
    </row>
    <row r="17" spans="1:8" ht="84.9" customHeight="1" x14ac:dyDescent="0.3">
      <c r="A17" s="2" t="s">
        <v>155</v>
      </c>
      <c r="B17" s="2" t="s">
        <v>189</v>
      </c>
      <c r="C17" s="2">
        <f>Assessment!J17</f>
        <v>0</v>
      </c>
      <c r="D17" s="2">
        <f>Assessment!K17</f>
        <v>0</v>
      </c>
      <c r="E17" s="2">
        <f>Assessment!L17</f>
        <v>0</v>
      </c>
      <c r="F17" s="2" t="str">
        <f>Assessment!M17</f>
        <v/>
      </c>
      <c r="G17" s="2" t="str">
        <f>Assessment!O17</f>
        <v/>
      </c>
      <c r="H17" s="2" t="str">
        <f>Assessment!P17</f>
        <v/>
      </c>
    </row>
    <row r="18" spans="1:8" ht="84.9" customHeight="1" x14ac:dyDescent="0.3">
      <c r="A18" s="2" t="s">
        <v>200</v>
      </c>
      <c r="B18" s="2" t="s">
        <v>201</v>
      </c>
      <c r="C18" s="2">
        <f>Assessment!J18</f>
        <v>0</v>
      </c>
      <c r="D18" s="2">
        <f>Assessment!K18</f>
        <v>0</v>
      </c>
      <c r="E18" s="2">
        <f>Assessment!L18</f>
        <v>0</v>
      </c>
      <c r="F18" s="2" t="str">
        <f>Assessment!M18</f>
        <v/>
      </c>
      <c r="G18" s="2" t="str">
        <f>Assessment!O18</f>
        <v/>
      </c>
      <c r="H18" s="2" t="str">
        <f>Assessment!P18</f>
        <v/>
      </c>
    </row>
    <row r="19" spans="1:8" ht="84.9" customHeight="1" x14ac:dyDescent="0.3">
      <c r="A19" s="2" t="s">
        <v>200</v>
      </c>
      <c r="B19" s="2" t="s">
        <v>212</v>
      </c>
      <c r="C19" s="2">
        <f>Assessment!J19</f>
        <v>0</v>
      </c>
      <c r="D19" s="2">
        <f>Assessment!K19</f>
        <v>0</v>
      </c>
      <c r="E19" s="2">
        <f>Assessment!L19</f>
        <v>0</v>
      </c>
      <c r="F19" s="2" t="str">
        <f>Assessment!M19</f>
        <v/>
      </c>
      <c r="G19" s="2" t="str">
        <f>Assessment!O19</f>
        <v/>
      </c>
      <c r="H19" s="2" t="str">
        <f>Assessment!P19</f>
        <v/>
      </c>
    </row>
    <row r="20" spans="1:8" ht="84.9" customHeight="1" x14ac:dyDescent="0.3">
      <c r="A20" s="2" t="s">
        <v>200</v>
      </c>
      <c r="B20" s="2" t="s">
        <v>223</v>
      </c>
      <c r="C20" s="2">
        <f>Assessment!J20</f>
        <v>0</v>
      </c>
      <c r="D20" s="2">
        <f>Assessment!K20</f>
        <v>0</v>
      </c>
      <c r="E20" s="2">
        <f>Assessment!L20</f>
        <v>0</v>
      </c>
      <c r="F20" s="2" t="str">
        <f>Assessment!M20</f>
        <v/>
      </c>
      <c r="G20" s="2" t="str">
        <f>Assessment!O20</f>
        <v/>
      </c>
      <c r="H20" s="2" t="str">
        <f>Assessment!P20</f>
        <v/>
      </c>
    </row>
    <row r="21" spans="1:8" ht="84.9" customHeight="1" x14ac:dyDescent="0.3">
      <c r="A21" s="2" t="s">
        <v>200</v>
      </c>
      <c r="B21" s="2" t="s">
        <v>234</v>
      </c>
      <c r="C21" s="2">
        <f>Assessment!J21</f>
        <v>0</v>
      </c>
      <c r="D21" s="2">
        <f>Assessment!K21</f>
        <v>0</v>
      </c>
      <c r="E21" s="2">
        <f>Assessment!L21</f>
        <v>0</v>
      </c>
      <c r="F21" s="2" t="str">
        <f>Assessment!M21</f>
        <v/>
      </c>
      <c r="G21" s="2" t="str">
        <f>Assessment!O21</f>
        <v/>
      </c>
      <c r="H21" s="2" t="str">
        <f>Assessment!P21</f>
        <v/>
      </c>
    </row>
  </sheetData>
  <autoFilter ref="A1:H21" xr:uid="{00000000-0009-0000-0000-000002000000}"/>
  <conditionalFormatting sqref="C2:F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21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10" customWidth="1"/>
    <col min="4" max="4" width="14" customWidth="1"/>
    <col min="5" max="5" width="65" customWidth="1"/>
    <col min="6" max="6" width="58" customWidth="1"/>
    <col min="7" max="7" width="14" customWidth="1"/>
    <col min="8" max="8" width="18" customWidth="1"/>
    <col min="9" max="9" width="16" customWidth="1"/>
    <col min="10" max="10" width="35" customWidth="1"/>
  </cols>
  <sheetData>
    <row r="1" spans="1:10" ht="30" customHeight="1" x14ac:dyDescent="0.3">
      <c r="A1" s="1" t="s">
        <v>0</v>
      </c>
      <c r="B1" s="1" t="s">
        <v>1</v>
      </c>
      <c r="C1" s="1" t="s">
        <v>250</v>
      </c>
      <c r="D1" s="1" t="s">
        <v>15</v>
      </c>
      <c r="E1" s="1" t="s">
        <v>18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</row>
    <row r="2" spans="1:10" ht="84.9" customHeight="1" x14ac:dyDescent="0.3">
      <c r="A2" s="2" t="s">
        <v>20</v>
      </c>
      <c r="B2" s="2" t="s">
        <v>21</v>
      </c>
      <c r="C2" s="2" t="str">
        <f>Assessment!O2</f>
        <v/>
      </c>
      <c r="D2" s="2" t="str">
        <f>Assessment!P2</f>
        <v/>
      </c>
      <c r="E2" s="2" t="s">
        <v>31</v>
      </c>
      <c r="F2" s="2" t="s">
        <v>300</v>
      </c>
      <c r="G2" s="2" t="str">
        <f t="shared" ref="G2:G21" si="0">IF(C2="","",IF(C2&gt;=3,"Oleada 1",IF(C2=2,"Oleada 2",IF(C2=1,"Oleada 3",""))))</f>
        <v/>
      </c>
      <c r="H2" s="2"/>
      <c r="I2" s="2" t="s">
        <v>256</v>
      </c>
      <c r="J2" s="2"/>
    </row>
    <row r="3" spans="1:10" ht="84.9" customHeight="1" x14ac:dyDescent="0.3">
      <c r="A3" s="2" t="s">
        <v>20</v>
      </c>
      <c r="B3" s="2" t="s">
        <v>32</v>
      </c>
      <c r="C3" s="2" t="str">
        <f>Assessment!O3</f>
        <v/>
      </c>
      <c r="D3" s="2" t="str">
        <f>Assessment!P3</f>
        <v/>
      </c>
      <c r="E3" s="2" t="s">
        <v>42</v>
      </c>
      <c r="F3" s="2" t="s">
        <v>301</v>
      </c>
      <c r="G3" s="2" t="str">
        <f t="shared" si="0"/>
        <v/>
      </c>
      <c r="H3" s="2"/>
      <c r="I3" s="2" t="s">
        <v>256</v>
      </c>
      <c r="J3" s="2"/>
    </row>
    <row r="4" spans="1:10" ht="84.9" customHeight="1" x14ac:dyDescent="0.3">
      <c r="A4" s="2" t="s">
        <v>20</v>
      </c>
      <c r="B4" s="2" t="s">
        <v>43</v>
      </c>
      <c r="C4" s="2" t="str">
        <f>Assessment!O4</f>
        <v/>
      </c>
      <c r="D4" s="2" t="str">
        <f>Assessment!P4</f>
        <v/>
      </c>
      <c r="E4" s="2" t="s">
        <v>53</v>
      </c>
      <c r="F4" s="2" t="s">
        <v>302</v>
      </c>
      <c r="G4" s="2" t="str">
        <f t="shared" si="0"/>
        <v/>
      </c>
      <c r="H4" s="2"/>
      <c r="I4" s="2" t="s">
        <v>256</v>
      </c>
      <c r="J4" s="2"/>
    </row>
    <row r="5" spans="1:10" ht="84.9" customHeight="1" x14ac:dyDescent="0.3">
      <c r="A5" s="2" t="s">
        <v>20</v>
      </c>
      <c r="B5" s="2" t="s">
        <v>54</v>
      </c>
      <c r="C5" s="2" t="str">
        <f>Assessment!O5</f>
        <v/>
      </c>
      <c r="D5" s="2" t="str">
        <f>Assessment!P5</f>
        <v/>
      </c>
      <c r="E5" s="2" t="s">
        <v>64</v>
      </c>
      <c r="F5" s="2" t="s">
        <v>303</v>
      </c>
      <c r="G5" s="2" t="str">
        <f t="shared" si="0"/>
        <v/>
      </c>
      <c r="H5" s="2"/>
      <c r="I5" s="2" t="s">
        <v>256</v>
      </c>
      <c r="J5" s="2"/>
    </row>
    <row r="6" spans="1:10" ht="84.9" customHeight="1" x14ac:dyDescent="0.3">
      <c r="A6" s="2" t="s">
        <v>65</v>
      </c>
      <c r="B6" s="2" t="s">
        <v>66</v>
      </c>
      <c r="C6" s="2" t="str">
        <f>Assessment!O6</f>
        <v/>
      </c>
      <c r="D6" s="2" t="str">
        <f>Assessment!P6</f>
        <v/>
      </c>
      <c r="E6" s="2" t="s">
        <v>76</v>
      </c>
      <c r="F6" s="2" t="s">
        <v>304</v>
      </c>
      <c r="G6" s="2" t="str">
        <f t="shared" si="0"/>
        <v/>
      </c>
      <c r="H6" s="2"/>
      <c r="I6" s="2" t="s">
        <v>256</v>
      </c>
      <c r="J6" s="2"/>
    </row>
    <row r="7" spans="1:10" ht="84.9" customHeight="1" x14ac:dyDescent="0.3">
      <c r="A7" s="2" t="s">
        <v>65</v>
      </c>
      <c r="B7" s="2" t="s">
        <v>77</v>
      </c>
      <c r="C7" s="2" t="str">
        <f>Assessment!O7</f>
        <v/>
      </c>
      <c r="D7" s="2" t="str">
        <f>Assessment!P7</f>
        <v/>
      </c>
      <c r="E7" s="2" t="s">
        <v>87</v>
      </c>
      <c r="F7" s="2" t="s">
        <v>305</v>
      </c>
      <c r="G7" s="2" t="str">
        <f t="shared" si="0"/>
        <v/>
      </c>
      <c r="H7" s="2"/>
      <c r="I7" s="2" t="s">
        <v>256</v>
      </c>
      <c r="J7" s="2"/>
    </row>
    <row r="8" spans="1:10" ht="84.9" customHeight="1" x14ac:dyDescent="0.3">
      <c r="A8" s="2" t="s">
        <v>65</v>
      </c>
      <c r="B8" s="2" t="s">
        <v>88</v>
      </c>
      <c r="C8" s="2" t="str">
        <f>Assessment!O8</f>
        <v/>
      </c>
      <c r="D8" s="2" t="str">
        <f>Assessment!P8</f>
        <v/>
      </c>
      <c r="E8" s="2" t="s">
        <v>98</v>
      </c>
      <c r="F8" s="2" t="s">
        <v>306</v>
      </c>
      <c r="G8" s="2" t="str">
        <f t="shared" si="0"/>
        <v/>
      </c>
      <c r="H8" s="2"/>
      <c r="I8" s="2" t="s">
        <v>256</v>
      </c>
      <c r="J8" s="2"/>
    </row>
    <row r="9" spans="1:10" ht="84.9" customHeight="1" x14ac:dyDescent="0.3">
      <c r="A9" s="2" t="s">
        <v>65</v>
      </c>
      <c r="B9" s="2" t="s">
        <v>99</v>
      </c>
      <c r="C9" s="2" t="str">
        <f>Assessment!O9</f>
        <v/>
      </c>
      <c r="D9" s="2" t="str">
        <f>Assessment!P9</f>
        <v/>
      </c>
      <c r="E9" s="2" t="s">
        <v>109</v>
      </c>
      <c r="F9" s="2" t="s">
        <v>307</v>
      </c>
      <c r="G9" s="2" t="str">
        <f t="shared" si="0"/>
        <v/>
      </c>
      <c r="H9" s="2"/>
      <c r="I9" s="2" t="s">
        <v>256</v>
      </c>
      <c r="J9" s="2"/>
    </row>
    <row r="10" spans="1:10" ht="84.9" customHeight="1" x14ac:dyDescent="0.3">
      <c r="A10" s="2" t="s">
        <v>110</v>
      </c>
      <c r="B10" s="2" t="s">
        <v>111</v>
      </c>
      <c r="C10" s="2" t="str">
        <f>Assessment!O10</f>
        <v/>
      </c>
      <c r="D10" s="2" t="str">
        <f>Assessment!P10</f>
        <v/>
      </c>
      <c r="E10" s="2" t="s">
        <v>121</v>
      </c>
      <c r="F10" s="2" t="s">
        <v>308</v>
      </c>
      <c r="G10" s="2" t="str">
        <f t="shared" si="0"/>
        <v/>
      </c>
      <c r="H10" s="2"/>
      <c r="I10" s="2" t="s">
        <v>256</v>
      </c>
      <c r="J10" s="2"/>
    </row>
    <row r="11" spans="1:10" ht="84.9" customHeight="1" x14ac:dyDescent="0.3">
      <c r="A11" s="2" t="s">
        <v>110</v>
      </c>
      <c r="B11" s="2" t="s">
        <v>122</v>
      </c>
      <c r="C11" s="2" t="str">
        <f>Assessment!O11</f>
        <v/>
      </c>
      <c r="D11" s="2" t="str">
        <f>Assessment!P11</f>
        <v/>
      </c>
      <c r="E11" s="2" t="s">
        <v>132</v>
      </c>
      <c r="F11" s="2" t="s">
        <v>309</v>
      </c>
      <c r="G11" s="2" t="str">
        <f t="shared" si="0"/>
        <v/>
      </c>
      <c r="H11" s="2"/>
      <c r="I11" s="2" t="s">
        <v>256</v>
      </c>
      <c r="J11" s="2"/>
    </row>
    <row r="12" spans="1:10" ht="84.9" customHeight="1" x14ac:dyDescent="0.3">
      <c r="A12" s="2" t="s">
        <v>110</v>
      </c>
      <c r="B12" s="2" t="s">
        <v>133</v>
      </c>
      <c r="C12" s="2" t="str">
        <f>Assessment!O12</f>
        <v/>
      </c>
      <c r="D12" s="2" t="str">
        <f>Assessment!P12</f>
        <v/>
      </c>
      <c r="E12" s="2" t="s">
        <v>143</v>
      </c>
      <c r="F12" s="2" t="s">
        <v>310</v>
      </c>
      <c r="G12" s="2" t="str">
        <f t="shared" si="0"/>
        <v/>
      </c>
      <c r="H12" s="2"/>
      <c r="I12" s="2" t="s">
        <v>256</v>
      </c>
      <c r="J12" s="2"/>
    </row>
    <row r="13" spans="1:10" ht="84.9" customHeight="1" x14ac:dyDescent="0.3">
      <c r="A13" s="2" t="s">
        <v>110</v>
      </c>
      <c r="B13" s="2" t="s">
        <v>144</v>
      </c>
      <c r="C13" s="2" t="str">
        <f>Assessment!O13</f>
        <v/>
      </c>
      <c r="D13" s="2" t="str">
        <f>Assessment!P13</f>
        <v/>
      </c>
      <c r="E13" s="2" t="s">
        <v>154</v>
      </c>
      <c r="F13" s="2" t="s">
        <v>311</v>
      </c>
      <c r="G13" s="2" t="str">
        <f t="shared" si="0"/>
        <v/>
      </c>
      <c r="H13" s="2"/>
      <c r="I13" s="2" t="s">
        <v>256</v>
      </c>
      <c r="J13" s="2"/>
    </row>
    <row r="14" spans="1:10" ht="84.9" customHeight="1" x14ac:dyDescent="0.3">
      <c r="A14" s="2" t="s">
        <v>155</v>
      </c>
      <c r="B14" s="2" t="s">
        <v>156</v>
      </c>
      <c r="C14" s="2" t="str">
        <f>Assessment!O14</f>
        <v/>
      </c>
      <c r="D14" s="2" t="str">
        <f>Assessment!P14</f>
        <v/>
      </c>
      <c r="E14" s="2" t="s">
        <v>166</v>
      </c>
      <c r="F14" s="2" t="s">
        <v>312</v>
      </c>
      <c r="G14" s="2" t="str">
        <f t="shared" si="0"/>
        <v/>
      </c>
      <c r="H14" s="2"/>
      <c r="I14" s="2" t="s">
        <v>256</v>
      </c>
      <c r="J14" s="2"/>
    </row>
    <row r="15" spans="1:10" ht="84.9" customHeight="1" x14ac:dyDescent="0.3">
      <c r="A15" s="2" t="s">
        <v>155</v>
      </c>
      <c r="B15" s="2" t="s">
        <v>167</v>
      </c>
      <c r="C15" s="2" t="str">
        <f>Assessment!O15</f>
        <v/>
      </c>
      <c r="D15" s="2" t="str">
        <f>Assessment!P15</f>
        <v/>
      </c>
      <c r="E15" s="2" t="s">
        <v>177</v>
      </c>
      <c r="F15" s="2" t="s">
        <v>313</v>
      </c>
      <c r="G15" s="2" t="str">
        <f t="shared" si="0"/>
        <v/>
      </c>
      <c r="H15" s="2"/>
      <c r="I15" s="2" t="s">
        <v>256</v>
      </c>
      <c r="J15" s="2"/>
    </row>
    <row r="16" spans="1:10" ht="84.9" customHeight="1" x14ac:dyDescent="0.3">
      <c r="A16" s="2" t="s">
        <v>155</v>
      </c>
      <c r="B16" s="2" t="s">
        <v>178</v>
      </c>
      <c r="C16" s="2" t="str">
        <f>Assessment!O16</f>
        <v/>
      </c>
      <c r="D16" s="2" t="str">
        <f>Assessment!P16</f>
        <v/>
      </c>
      <c r="E16" s="2" t="s">
        <v>188</v>
      </c>
      <c r="F16" s="2" t="s">
        <v>314</v>
      </c>
      <c r="G16" s="2" t="str">
        <f t="shared" si="0"/>
        <v/>
      </c>
      <c r="H16" s="2"/>
      <c r="I16" s="2" t="s">
        <v>256</v>
      </c>
      <c r="J16" s="2"/>
    </row>
    <row r="17" spans="1:10" ht="84.9" customHeight="1" x14ac:dyDescent="0.3">
      <c r="A17" s="2" t="s">
        <v>155</v>
      </c>
      <c r="B17" s="2" t="s">
        <v>189</v>
      </c>
      <c r="C17" s="2" t="str">
        <f>Assessment!O17</f>
        <v/>
      </c>
      <c r="D17" s="2" t="str">
        <f>Assessment!P17</f>
        <v/>
      </c>
      <c r="E17" s="2" t="s">
        <v>199</v>
      </c>
      <c r="F17" s="2" t="s">
        <v>315</v>
      </c>
      <c r="G17" s="2" t="str">
        <f t="shared" si="0"/>
        <v/>
      </c>
      <c r="H17" s="2"/>
      <c r="I17" s="2" t="s">
        <v>256</v>
      </c>
      <c r="J17" s="2"/>
    </row>
    <row r="18" spans="1:10" ht="84.9" customHeight="1" x14ac:dyDescent="0.3">
      <c r="A18" s="2" t="s">
        <v>200</v>
      </c>
      <c r="B18" s="2" t="s">
        <v>201</v>
      </c>
      <c r="C18" s="2" t="str">
        <f>Assessment!O18</f>
        <v/>
      </c>
      <c r="D18" s="2" t="str">
        <f>Assessment!P18</f>
        <v/>
      </c>
      <c r="E18" s="2" t="s">
        <v>211</v>
      </c>
      <c r="F18" s="2" t="s">
        <v>316</v>
      </c>
      <c r="G18" s="2" t="str">
        <f t="shared" si="0"/>
        <v/>
      </c>
      <c r="H18" s="2"/>
      <c r="I18" s="2" t="s">
        <v>256</v>
      </c>
      <c r="J18" s="2"/>
    </row>
    <row r="19" spans="1:10" ht="84.9" customHeight="1" x14ac:dyDescent="0.3">
      <c r="A19" s="2" t="s">
        <v>200</v>
      </c>
      <c r="B19" s="2" t="s">
        <v>212</v>
      </c>
      <c r="C19" s="2" t="str">
        <f>Assessment!O19</f>
        <v/>
      </c>
      <c r="D19" s="2" t="str">
        <f>Assessment!P19</f>
        <v/>
      </c>
      <c r="E19" s="2" t="s">
        <v>222</v>
      </c>
      <c r="F19" s="2" t="s">
        <v>317</v>
      </c>
      <c r="G19" s="2" t="str">
        <f t="shared" si="0"/>
        <v/>
      </c>
      <c r="H19" s="2"/>
      <c r="I19" s="2" t="s">
        <v>256</v>
      </c>
      <c r="J19" s="2"/>
    </row>
    <row r="20" spans="1:10" ht="84.9" customHeight="1" x14ac:dyDescent="0.3">
      <c r="A20" s="2" t="s">
        <v>200</v>
      </c>
      <c r="B20" s="2" t="s">
        <v>223</v>
      </c>
      <c r="C20" s="2" t="str">
        <f>Assessment!O20</f>
        <v/>
      </c>
      <c r="D20" s="2" t="str">
        <f>Assessment!P20</f>
        <v/>
      </c>
      <c r="E20" s="2" t="s">
        <v>233</v>
      </c>
      <c r="F20" s="2" t="s">
        <v>318</v>
      </c>
      <c r="G20" s="2" t="str">
        <f t="shared" si="0"/>
        <v/>
      </c>
      <c r="H20" s="2"/>
      <c r="I20" s="2" t="s">
        <v>256</v>
      </c>
      <c r="J20" s="2"/>
    </row>
    <row r="21" spans="1:10" ht="84.9" customHeight="1" x14ac:dyDescent="0.3">
      <c r="A21" s="2" t="s">
        <v>200</v>
      </c>
      <c r="B21" s="2" t="s">
        <v>234</v>
      </c>
      <c r="C21" s="2" t="str">
        <f>Assessment!O21</f>
        <v/>
      </c>
      <c r="D21" s="2" t="str">
        <f>Assessment!P21</f>
        <v/>
      </c>
      <c r="E21" s="2" t="s">
        <v>244</v>
      </c>
      <c r="F21" s="2" t="s">
        <v>319</v>
      </c>
      <c r="G21" s="2" t="str">
        <f t="shared" si="0"/>
        <v/>
      </c>
      <c r="H21" s="2"/>
      <c r="I21" s="2" t="s">
        <v>256</v>
      </c>
      <c r="J21" s="2"/>
    </row>
  </sheetData>
  <autoFilter ref="A1:J21" xr:uid="{00000000-0009-0000-0000-000003000000}"/>
  <dataValidations count="1">
    <dataValidation type="list" allowBlank="1" sqref="I2:I21" xr:uid="{00000000-0002-0000-0300-000000000000}">
      <formula1>"No iniciado,En curso,Completado,En pausa"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65" customWidth="1"/>
    <col min="4" max="4" width="80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8</v>
      </c>
      <c r="D1" s="1" t="s">
        <v>257</v>
      </c>
      <c r="E1" s="1" t="s">
        <v>258</v>
      </c>
    </row>
    <row r="2" spans="1:5" ht="84.9" customHeight="1" x14ac:dyDescent="0.3">
      <c r="A2" s="2" t="s">
        <v>20</v>
      </c>
      <c r="B2" s="2" t="s">
        <v>21</v>
      </c>
      <c r="C2" s="2" t="s">
        <v>300</v>
      </c>
      <c r="D2" s="2" t="s">
        <v>27</v>
      </c>
      <c r="E2" s="2" t="s">
        <v>259</v>
      </c>
    </row>
    <row r="3" spans="1:5" ht="84.9" customHeight="1" x14ac:dyDescent="0.3">
      <c r="A3" s="2" t="s">
        <v>20</v>
      </c>
      <c r="B3" s="2" t="s">
        <v>32</v>
      </c>
      <c r="C3" s="2" t="s">
        <v>301</v>
      </c>
      <c r="D3" s="2" t="s">
        <v>38</v>
      </c>
      <c r="E3" s="2" t="s">
        <v>259</v>
      </c>
    </row>
    <row r="4" spans="1:5" ht="84.9" customHeight="1" x14ac:dyDescent="0.3">
      <c r="A4" s="2" t="s">
        <v>20</v>
      </c>
      <c r="B4" s="2" t="s">
        <v>43</v>
      </c>
      <c r="C4" s="2" t="s">
        <v>302</v>
      </c>
      <c r="D4" s="2" t="s">
        <v>49</v>
      </c>
      <c r="E4" s="2" t="s">
        <v>259</v>
      </c>
    </row>
    <row r="5" spans="1:5" ht="84.9" customHeight="1" x14ac:dyDescent="0.3">
      <c r="A5" s="2" t="s">
        <v>20</v>
      </c>
      <c r="B5" s="2" t="s">
        <v>54</v>
      </c>
      <c r="C5" s="2" t="s">
        <v>303</v>
      </c>
      <c r="D5" s="2" t="s">
        <v>60</v>
      </c>
      <c r="E5" s="2" t="s">
        <v>259</v>
      </c>
    </row>
    <row r="6" spans="1:5" ht="84.9" customHeight="1" x14ac:dyDescent="0.3">
      <c r="A6" s="2" t="s">
        <v>65</v>
      </c>
      <c r="B6" s="2" t="s">
        <v>66</v>
      </c>
      <c r="C6" s="2" t="s">
        <v>304</v>
      </c>
      <c r="D6" s="2" t="s">
        <v>72</v>
      </c>
      <c r="E6" s="2" t="s">
        <v>259</v>
      </c>
    </row>
    <row r="7" spans="1:5" ht="84.9" customHeight="1" x14ac:dyDescent="0.3">
      <c r="A7" s="2" t="s">
        <v>65</v>
      </c>
      <c r="B7" s="2" t="s">
        <v>77</v>
      </c>
      <c r="C7" s="2" t="s">
        <v>305</v>
      </c>
      <c r="D7" s="2" t="s">
        <v>83</v>
      </c>
      <c r="E7" s="2" t="s">
        <v>259</v>
      </c>
    </row>
    <row r="8" spans="1:5" ht="84.9" customHeight="1" x14ac:dyDescent="0.3">
      <c r="A8" s="2" t="s">
        <v>65</v>
      </c>
      <c r="B8" s="2" t="s">
        <v>88</v>
      </c>
      <c r="C8" s="2" t="s">
        <v>306</v>
      </c>
      <c r="D8" s="2" t="s">
        <v>94</v>
      </c>
      <c r="E8" s="2" t="s">
        <v>259</v>
      </c>
    </row>
    <row r="9" spans="1:5" ht="84.9" customHeight="1" x14ac:dyDescent="0.3">
      <c r="A9" s="2" t="s">
        <v>65</v>
      </c>
      <c r="B9" s="2" t="s">
        <v>99</v>
      </c>
      <c r="C9" s="2" t="s">
        <v>307</v>
      </c>
      <c r="D9" s="2" t="s">
        <v>105</v>
      </c>
      <c r="E9" s="2" t="s">
        <v>259</v>
      </c>
    </row>
    <row r="10" spans="1:5" ht="84.9" customHeight="1" x14ac:dyDescent="0.3">
      <c r="A10" s="2" t="s">
        <v>110</v>
      </c>
      <c r="B10" s="2" t="s">
        <v>111</v>
      </c>
      <c r="C10" s="2" t="s">
        <v>308</v>
      </c>
      <c r="D10" s="2" t="s">
        <v>117</v>
      </c>
      <c r="E10" s="2" t="s">
        <v>259</v>
      </c>
    </row>
    <row r="11" spans="1:5" ht="84.9" customHeight="1" x14ac:dyDescent="0.3">
      <c r="A11" s="2" t="s">
        <v>110</v>
      </c>
      <c r="B11" s="2" t="s">
        <v>122</v>
      </c>
      <c r="C11" s="2" t="s">
        <v>309</v>
      </c>
      <c r="D11" s="2" t="s">
        <v>128</v>
      </c>
      <c r="E11" s="2" t="s">
        <v>259</v>
      </c>
    </row>
    <row r="12" spans="1:5" ht="84.9" customHeight="1" x14ac:dyDescent="0.3">
      <c r="A12" s="2" t="s">
        <v>110</v>
      </c>
      <c r="B12" s="2" t="s">
        <v>133</v>
      </c>
      <c r="C12" s="2" t="s">
        <v>310</v>
      </c>
      <c r="D12" s="2" t="s">
        <v>139</v>
      </c>
      <c r="E12" s="2" t="s">
        <v>259</v>
      </c>
    </row>
    <row r="13" spans="1:5" ht="84.9" customHeight="1" x14ac:dyDescent="0.3">
      <c r="A13" s="2" t="s">
        <v>110</v>
      </c>
      <c r="B13" s="2" t="s">
        <v>144</v>
      </c>
      <c r="C13" s="2" t="s">
        <v>311</v>
      </c>
      <c r="D13" s="2" t="s">
        <v>150</v>
      </c>
      <c r="E13" s="2" t="s">
        <v>259</v>
      </c>
    </row>
    <row r="14" spans="1:5" ht="84.9" customHeight="1" x14ac:dyDescent="0.3">
      <c r="A14" s="2" t="s">
        <v>155</v>
      </c>
      <c r="B14" s="2" t="s">
        <v>156</v>
      </c>
      <c r="C14" s="2" t="s">
        <v>312</v>
      </c>
      <c r="D14" s="2" t="s">
        <v>162</v>
      </c>
      <c r="E14" s="2" t="s">
        <v>259</v>
      </c>
    </row>
    <row r="15" spans="1:5" ht="84.9" customHeight="1" x14ac:dyDescent="0.3">
      <c r="A15" s="2" t="s">
        <v>155</v>
      </c>
      <c r="B15" s="2" t="s">
        <v>167</v>
      </c>
      <c r="C15" s="2" t="s">
        <v>313</v>
      </c>
      <c r="D15" s="2" t="s">
        <v>173</v>
      </c>
      <c r="E15" s="2" t="s">
        <v>259</v>
      </c>
    </row>
    <row r="16" spans="1:5" ht="84.9" customHeight="1" x14ac:dyDescent="0.3">
      <c r="A16" s="2" t="s">
        <v>155</v>
      </c>
      <c r="B16" s="2" t="s">
        <v>178</v>
      </c>
      <c r="C16" s="2" t="s">
        <v>314</v>
      </c>
      <c r="D16" s="2" t="s">
        <v>184</v>
      </c>
      <c r="E16" s="2" t="s">
        <v>259</v>
      </c>
    </row>
    <row r="17" spans="1:5" ht="84.9" customHeight="1" x14ac:dyDescent="0.3">
      <c r="A17" s="2" t="s">
        <v>155</v>
      </c>
      <c r="B17" s="2" t="s">
        <v>189</v>
      </c>
      <c r="C17" s="2" t="s">
        <v>315</v>
      </c>
      <c r="D17" s="2" t="s">
        <v>195</v>
      </c>
      <c r="E17" s="2" t="s">
        <v>259</v>
      </c>
    </row>
    <row r="18" spans="1:5" ht="84.9" customHeight="1" x14ac:dyDescent="0.3">
      <c r="A18" s="2" t="s">
        <v>200</v>
      </c>
      <c r="B18" s="2" t="s">
        <v>201</v>
      </c>
      <c r="C18" s="2" t="s">
        <v>316</v>
      </c>
      <c r="D18" s="2" t="s">
        <v>207</v>
      </c>
      <c r="E18" s="2" t="s">
        <v>259</v>
      </c>
    </row>
    <row r="19" spans="1:5" ht="84.9" customHeight="1" x14ac:dyDescent="0.3">
      <c r="A19" s="2" t="s">
        <v>200</v>
      </c>
      <c r="B19" s="2" t="s">
        <v>212</v>
      </c>
      <c r="C19" s="2" t="s">
        <v>317</v>
      </c>
      <c r="D19" s="2" t="s">
        <v>218</v>
      </c>
      <c r="E19" s="2" t="s">
        <v>259</v>
      </c>
    </row>
    <row r="20" spans="1:5" ht="84.9" customHeight="1" x14ac:dyDescent="0.3">
      <c r="A20" s="2" t="s">
        <v>200</v>
      </c>
      <c r="B20" s="2" t="s">
        <v>223</v>
      </c>
      <c r="C20" s="2" t="s">
        <v>318</v>
      </c>
      <c r="D20" s="2" t="s">
        <v>229</v>
      </c>
      <c r="E20" s="2" t="s">
        <v>259</v>
      </c>
    </row>
    <row r="21" spans="1:5" ht="84.9" customHeight="1" x14ac:dyDescent="0.3">
      <c r="A21" s="2" t="s">
        <v>200</v>
      </c>
      <c r="B21" s="2" t="s">
        <v>234</v>
      </c>
      <c r="C21" s="2" t="s">
        <v>319</v>
      </c>
      <c r="D21" s="2" t="s">
        <v>240</v>
      </c>
      <c r="E21" s="2" t="s">
        <v>259</v>
      </c>
    </row>
  </sheetData>
  <autoFilter ref="A1:E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30" customHeight="1" x14ac:dyDescent="0.3">
      <c r="A1" s="1" t="s">
        <v>260</v>
      </c>
      <c r="B1" s="1"/>
    </row>
    <row r="2" spans="1:2" ht="30" customHeight="1" x14ac:dyDescent="0.3">
      <c r="A2" s="5" t="s">
        <v>261</v>
      </c>
      <c r="B2" s="5"/>
    </row>
    <row r="3" spans="1:2" ht="30" customHeight="1" x14ac:dyDescent="0.3">
      <c r="A3" s="2" t="s">
        <v>3</v>
      </c>
      <c r="B3" s="2" t="s">
        <v>262</v>
      </c>
    </row>
    <row r="4" spans="1:2" ht="30" customHeight="1" x14ac:dyDescent="0.3">
      <c r="A4" s="2" t="s">
        <v>4</v>
      </c>
      <c r="B4" s="2" t="s">
        <v>263</v>
      </c>
    </row>
    <row r="5" spans="1:2" ht="30" customHeight="1" x14ac:dyDescent="0.3">
      <c r="A5" s="2" t="s">
        <v>5</v>
      </c>
      <c r="B5" s="2" t="s">
        <v>264</v>
      </c>
    </row>
    <row r="6" spans="1:2" ht="30" customHeight="1" x14ac:dyDescent="0.3">
      <c r="A6" s="2" t="s">
        <v>6</v>
      </c>
      <c r="B6" s="2" t="s">
        <v>265</v>
      </c>
    </row>
    <row r="7" spans="1:2" ht="30" customHeight="1" x14ac:dyDescent="0.3">
      <c r="A7" s="2" t="s">
        <v>266</v>
      </c>
      <c r="B7" s="2" t="s">
        <v>267</v>
      </c>
    </row>
    <row r="8" spans="1:2" ht="30" customHeight="1" x14ac:dyDescent="0.3">
      <c r="A8" s="2"/>
      <c r="B8" s="2"/>
    </row>
    <row r="9" spans="1:2" ht="30" customHeight="1" x14ac:dyDescent="0.3">
      <c r="A9" s="5" t="s">
        <v>268</v>
      </c>
      <c r="B9" s="5"/>
    </row>
    <row r="10" spans="1:2" ht="30" customHeight="1" x14ac:dyDescent="0.3">
      <c r="A10" s="2" t="s">
        <v>3</v>
      </c>
      <c r="B10" s="2" t="s">
        <v>269</v>
      </c>
    </row>
    <row r="11" spans="1:2" ht="30" customHeight="1" x14ac:dyDescent="0.3">
      <c r="A11" s="2" t="s">
        <v>4</v>
      </c>
      <c r="B11" s="2" t="s">
        <v>270</v>
      </c>
    </row>
    <row r="12" spans="1:2" ht="30" customHeight="1" x14ac:dyDescent="0.3">
      <c r="A12" s="2" t="s">
        <v>5</v>
      </c>
      <c r="B12" s="2" t="s">
        <v>271</v>
      </c>
    </row>
    <row r="13" spans="1:2" ht="30" customHeight="1" x14ac:dyDescent="0.3">
      <c r="A13" s="2" t="s">
        <v>6</v>
      </c>
      <c r="B13" s="2" t="s">
        <v>272</v>
      </c>
    </row>
    <row r="14" spans="1:2" ht="30" customHeight="1" x14ac:dyDescent="0.3">
      <c r="A14" s="2" t="s">
        <v>266</v>
      </c>
      <c r="B14" s="2" t="s">
        <v>273</v>
      </c>
    </row>
    <row r="15" spans="1:2" ht="30" customHeight="1" x14ac:dyDescent="0.3">
      <c r="A15" s="2"/>
      <c r="B15" s="2"/>
    </row>
    <row r="16" spans="1:2" ht="30" customHeight="1" x14ac:dyDescent="0.3">
      <c r="A16" s="5" t="s">
        <v>274</v>
      </c>
      <c r="B16" s="5"/>
    </row>
    <row r="17" spans="1:2" ht="30" customHeight="1" x14ac:dyDescent="0.3">
      <c r="A17" s="2" t="s">
        <v>3</v>
      </c>
      <c r="B17" s="2" t="s">
        <v>275</v>
      </c>
    </row>
    <row r="18" spans="1:2" ht="30" customHeight="1" x14ac:dyDescent="0.3">
      <c r="A18" s="2" t="s">
        <v>4</v>
      </c>
      <c r="B18" s="2" t="s">
        <v>276</v>
      </c>
    </row>
    <row r="19" spans="1:2" ht="30" customHeight="1" x14ac:dyDescent="0.3">
      <c r="A19" s="2" t="s">
        <v>5</v>
      </c>
      <c r="B19" s="2" t="s">
        <v>277</v>
      </c>
    </row>
    <row r="20" spans="1:2" ht="30" customHeight="1" x14ac:dyDescent="0.3">
      <c r="A20" s="2" t="s">
        <v>6</v>
      </c>
      <c r="B20" s="2" t="s">
        <v>278</v>
      </c>
    </row>
    <row r="21" spans="1:2" ht="30" customHeight="1" x14ac:dyDescent="0.3">
      <c r="A21" s="2" t="s">
        <v>266</v>
      </c>
      <c r="B21" s="2" t="s">
        <v>279</v>
      </c>
    </row>
    <row r="22" spans="1:2" ht="30" customHeight="1" x14ac:dyDescent="0.3">
      <c r="A22" s="2"/>
      <c r="B22" s="2"/>
    </row>
    <row r="23" spans="1:2" ht="30" customHeight="1" x14ac:dyDescent="0.3">
      <c r="A23" s="5" t="s">
        <v>280</v>
      </c>
      <c r="B23" s="5"/>
    </row>
    <row r="24" spans="1:2" ht="30" customHeight="1" x14ac:dyDescent="0.3">
      <c r="A24" s="2" t="s">
        <v>281</v>
      </c>
      <c r="B24" s="2" t="s">
        <v>282</v>
      </c>
    </row>
    <row r="25" spans="1:2" ht="30" customHeight="1" x14ac:dyDescent="0.3">
      <c r="A25" s="2" t="s">
        <v>283</v>
      </c>
      <c r="B25" s="2" t="s">
        <v>284</v>
      </c>
    </row>
    <row r="26" spans="1:2" ht="30" customHeight="1" x14ac:dyDescent="0.3">
      <c r="A26" s="2" t="s">
        <v>285</v>
      </c>
      <c r="B26" s="2" t="s">
        <v>286</v>
      </c>
    </row>
    <row r="27" spans="1:2" ht="30" customHeight="1" x14ac:dyDescent="0.3">
      <c r="A27" s="2" t="s">
        <v>287</v>
      </c>
      <c r="B27" s="2" t="s">
        <v>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cols>
    <col min="1" max="1" width="28" customWidth="1"/>
    <col min="2" max="2" width="115" customWidth="1"/>
  </cols>
  <sheetData>
    <row r="1" spans="1:2" ht="30" customHeight="1" x14ac:dyDescent="0.3">
      <c r="A1" s="7" t="s">
        <v>289</v>
      </c>
      <c r="B1" s="8"/>
    </row>
    <row r="2" spans="1:2" ht="30" customHeight="1" x14ac:dyDescent="0.3">
      <c r="A2" s="6" t="s">
        <v>290</v>
      </c>
      <c r="B2" s="2" t="s">
        <v>291</v>
      </c>
    </row>
    <row r="3" spans="1:2" ht="30" customHeight="1" x14ac:dyDescent="0.3">
      <c r="A3" s="6" t="s">
        <v>292</v>
      </c>
      <c r="B3" s="2" t="s">
        <v>293</v>
      </c>
    </row>
    <row r="4" spans="1:2" ht="30" customHeight="1" x14ac:dyDescent="0.3">
      <c r="A4" s="6" t="s">
        <v>294</v>
      </c>
      <c r="B4" s="2" t="s">
        <v>295</v>
      </c>
    </row>
    <row r="5" spans="1:2" ht="30" customHeight="1" x14ac:dyDescent="0.3">
      <c r="A5" s="6" t="s">
        <v>296</v>
      </c>
      <c r="B5" s="2" t="s">
        <v>297</v>
      </c>
    </row>
    <row r="6" spans="1:2" ht="30" customHeight="1" x14ac:dyDescent="0.3">
      <c r="A6" s="6" t="s">
        <v>298</v>
      </c>
      <c r="B6" s="2" t="s">
        <v>299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FA29F310CEA4A92E7055778740EF9" ma:contentTypeVersion="3" ma:contentTypeDescription="Crear nuevo documento." ma:contentTypeScope="" ma:versionID="6434e39657608d9e2815aff4bbdc6824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96165a36436cef3f51f92079d6e8c94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47615E-F280-4C3C-AB36-A4B020076509}"/>
</file>

<file path=customXml/itemProps2.xml><?xml version="1.0" encoding="utf-8"?>
<ds:datastoreItem xmlns:ds="http://schemas.openxmlformats.org/officeDocument/2006/customXml" ds:itemID="{8425E261-C12F-4537-8FDE-AB5DD44B1F54}"/>
</file>

<file path=customXml/itemProps3.xml><?xml version="1.0" encoding="utf-8"?>
<ds:datastoreItem xmlns:ds="http://schemas.openxmlformats.org/officeDocument/2006/customXml" ds:itemID="{30D60596-A582-41F9-BAD7-6CD3D3FBE17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2026-07-28T13:56:16Z</dcterms:created>
  <dcterms:modified xsi:type="dcterms:W3CDTF">2026-07-28T13:59:54Z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