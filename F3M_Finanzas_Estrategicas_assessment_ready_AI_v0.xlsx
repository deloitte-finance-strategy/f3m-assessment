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jcolomerflores_deloitte_es/Documents/00 FINANCE STRATEGY/01 PROYECTO F3M/Finanzas Estratégicas/"/>
    </mc:Choice>
  </mc:AlternateContent>
  <xr:revisionPtr revIDLastSave="0" documentId="8_{051EE1DD-D47B-4CF6-BA53-D203CEE112C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AI Overlay" sheetId="5" r:id="rId5"/>
    <sheet name="Guias scoring" sheetId="6" r:id="rId6"/>
    <sheet name="Instrucciones" sheetId="7" r:id="rId7"/>
  </sheets>
  <definedNames>
    <definedName name="_xlnm._FilterDatabase" localSheetId="4" hidden="1">'AI Overlay'!$A$1:$E$13</definedName>
    <definedName name="_xlnm._FilterDatabase" localSheetId="0" hidden="1">Assessment!$A$1:$T$13</definedName>
    <definedName name="_xlnm._FilterDatabase" localSheetId="2" hidden="1">Heatmap!$A$1:$H$13</definedName>
    <definedName name="_xlnm._FilterDatabase" localSheetId="3" hidden="1">Roadmap!$A$1:$J$13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D4" i="2"/>
  <c r="C4" i="2"/>
  <c r="B4" i="2"/>
  <c r="D3" i="2"/>
  <c r="C3" i="2"/>
  <c r="B3" i="2"/>
  <c r="D2" i="2"/>
  <c r="C2" i="2"/>
  <c r="B2" i="2"/>
  <c r="M13" i="1"/>
  <c r="M12" i="1"/>
  <c r="M11" i="1"/>
  <c r="M10" i="1"/>
  <c r="M9" i="1"/>
  <c r="M8" i="1"/>
  <c r="M7" i="1"/>
  <c r="M6" i="1"/>
  <c r="M5" i="1"/>
  <c r="M4" i="1"/>
  <c r="M3" i="1"/>
  <c r="M2" i="1"/>
  <c r="E4" i="2" l="1"/>
  <c r="F4" i="2" s="1"/>
  <c r="G4" i="2" s="1"/>
  <c r="D5" i="2"/>
  <c r="E3" i="2"/>
  <c r="F3" i="2" s="1"/>
  <c r="G3" i="2" s="1"/>
  <c r="C5" i="2"/>
  <c r="F2" i="3"/>
  <c r="O2" i="1"/>
  <c r="N2" i="1"/>
  <c r="F3" i="3"/>
  <c r="O3" i="1"/>
  <c r="N3" i="1"/>
  <c r="F4" i="3"/>
  <c r="O4" i="1"/>
  <c r="N4" i="1"/>
  <c r="F5" i="3"/>
  <c r="O5" i="1"/>
  <c r="N5" i="1"/>
  <c r="F6" i="3"/>
  <c r="O6" i="1"/>
  <c r="N6" i="1"/>
  <c r="F7" i="3"/>
  <c r="O7" i="1"/>
  <c r="N7" i="1"/>
  <c r="F8" i="3"/>
  <c r="O8" i="1"/>
  <c r="N8" i="1"/>
  <c r="F9" i="3"/>
  <c r="O9" i="1"/>
  <c r="N9" i="1"/>
  <c r="F10" i="3"/>
  <c r="O10" i="1"/>
  <c r="N10" i="1"/>
  <c r="F11" i="3"/>
  <c r="O11" i="1"/>
  <c r="N11" i="1"/>
  <c r="F12" i="3"/>
  <c r="O12" i="1"/>
  <c r="N12" i="1"/>
  <c r="F13" i="3"/>
  <c r="O13" i="1"/>
  <c r="N13" i="1"/>
  <c r="B5" i="2"/>
  <c r="E2" i="2"/>
  <c r="E5" i="2" l="1"/>
  <c r="F5" i="2" s="1"/>
  <c r="G5" i="2" s="1"/>
  <c r="F2" i="2"/>
  <c r="G2" i="2" s="1"/>
  <c r="C13" i="4"/>
  <c r="G13" i="4" s="1"/>
  <c r="G13" i="3"/>
  <c r="P13" i="1"/>
  <c r="C12" i="4"/>
  <c r="G12" i="4" s="1"/>
  <c r="G12" i="3"/>
  <c r="P12" i="1"/>
  <c r="C11" i="4"/>
  <c r="G11" i="4" s="1"/>
  <c r="G11" i="3"/>
  <c r="P11" i="1"/>
  <c r="C10" i="4"/>
  <c r="G10" i="4" s="1"/>
  <c r="G10" i="3"/>
  <c r="P10" i="1"/>
  <c r="C9" i="4"/>
  <c r="G9" i="4" s="1"/>
  <c r="G9" i="3"/>
  <c r="P9" i="1"/>
  <c r="C8" i="4"/>
  <c r="G8" i="4" s="1"/>
  <c r="G8" i="3"/>
  <c r="P8" i="1"/>
  <c r="C7" i="4"/>
  <c r="G7" i="4" s="1"/>
  <c r="G7" i="3"/>
  <c r="P7" i="1"/>
  <c r="C6" i="4"/>
  <c r="G6" i="4" s="1"/>
  <c r="G6" i="3"/>
  <c r="P6" i="1"/>
  <c r="C5" i="4"/>
  <c r="G5" i="4" s="1"/>
  <c r="G5" i="3"/>
  <c r="P5" i="1"/>
  <c r="C4" i="4"/>
  <c r="G4" i="4" s="1"/>
  <c r="G4" i="3"/>
  <c r="P4" i="1"/>
  <c r="C3" i="4"/>
  <c r="G3" i="4" s="1"/>
  <c r="G3" i="3"/>
  <c r="P3" i="1"/>
  <c r="C2" i="4"/>
  <c r="G2" i="4" s="1"/>
  <c r="G2" i="3"/>
  <c r="P2" i="1"/>
  <c r="D2" i="4" l="1"/>
  <c r="H2" i="3"/>
  <c r="D3" i="4"/>
  <c r="H3" i="3"/>
  <c r="D4" i="4"/>
  <c r="H4" i="3"/>
  <c r="D5" i="4"/>
  <c r="H5" i="3"/>
  <c r="D6" i="4"/>
  <c r="H6" i="3"/>
  <c r="D7" i="4"/>
  <c r="H7" i="3"/>
  <c r="D8" i="4"/>
  <c r="H8" i="3"/>
  <c r="D9" i="4"/>
  <c r="H9" i="3"/>
  <c r="D10" i="4"/>
  <c r="H10" i="3"/>
  <c r="D11" i="4"/>
  <c r="H11" i="3"/>
  <c r="D12" i="4"/>
  <c r="H12" i="3"/>
  <c r="D13" i="4"/>
  <c r="H13" i="3"/>
</calcChain>
</file>

<file path=xl/sharedStrings.xml><?xml version="1.0" encoding="utf-8"?>
<sst xmlns="http://schemas.openxmlformats.org/spreadsheetml/2006/main" count="396" uniqueCount="222">
  <si>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</si>
  <si>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</si>
  <si>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</si>
  <si>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</si>
  <si>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</si>
  <si>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</si>
  <si>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</si>
  <si>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</si>
  <si>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Casos de uso AI asociados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</si>
  <si>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</si>
  <si>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</si>
  <si>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</si>
  <si>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</si>
  <si>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</si>
  <si>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</si>
  <si>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</si>
  <si>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</si>
  <si>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</si>
  <si>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</si>
  <si>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</si>
  <si>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Visión financiera</t>
  </si>
  <si>
    <t>1.1 Narrativa financiera y ambición estratégica de Finanzas</t>
  </si>
  <si>
    <t>Evaluar si la función financiera dispone de una visión clara, compartida y accionable sobre su rol estratégico, prioridades y contribución a la creación de valor.</t>
  </si>
  <si>
    <t>La visión financiera es implícita o fragmentada, con foco principalmente operativo y baja conexión con la estrategia corporativa.</t>
  </si>
  <si>
    <t>Existe una visión financiera básica, aunque no está plenamente traducida en prioridades, capacidades, métricas o iniciativas.</t>
  </si>
  <si>
    <t>Visión financiera documentada, alineada con la estrategia corporativa, con prioridades, objetivos y narrativa ejecutiva definidos.</t>
  </si>
  <si>
    <t>Visión financiera integrada con modelo operativo, capacidades, tecnología, datos, talento, KPIs y roadmap de transformación.</t>
  </si>
  <si>
    <t>Visión financiera dinámica y basada en IA, con actualización basada en señales internas/externas, escenarios, salud financiera y recomendaciones estratégicas.</t>
  </si>
  <si>
    <t>Generación de una visión ejecutiva de la salud financiera de la compañía; Generación de estrategias de inversión a partir de las condiciones de mercado consolidadas, el rendimiento financiero interno y los objetivos de la firma; Inteligencia de mercado de nueva generación</t>
  </si>
  <si>
    <t>¿Existe una visión financiera formal?
¿Está alineada con la estrategia corporativa?
¿Se traduce en prioridades y capacidades?
¿Se actualiza con señales internas y externas?</t>
  </si>
  <si>
    <t>Documento de visión financiera; estrategia corporativa; prioridades del CFO; roadmap; KPIs; presentaciones a comité; entrevistas con stakeholders.</t>
  </si>
  <si>
    <t>Definir o actualizar la visión financiera corporativa con narrativa estratégica, prioridades, capacidades objetivo, KPIs y hoja de ruta asociada.</t>
  </si>
  <si>
    <t>1.2 Modelo de creación de valor y capital allocation</t>
  </si>
  <si>
    <t>Evaluar si la función financiera dispone de un marco para conectar estrategia, asignación de capital, inversiones, valor esperado y retorno real.</t>
  </si>
  <si>
    <t>La asignación de capital se realiza de forma puntual o incremental, con criterios variables y seguimiento limitado del valor generado.</t>
  </si>
  <si>
    <t>Se utilizan criterios financieros básicos para inversiones relevantes, aunque con baja integración entre estrategia, portfolio y beneficios.</t>
  </si>
  <si>
    <t>Modelo de capital allocation definido con criterios de valor, riesgo, alineamiento estratégico, capacidad y seguimiento de beneficios.</t>
  </si>
  <si>
    <t>Capital allocation integrado con planificación estratégica, portfolio, business cases, escenarios, recursos y revisión periódica de retorno.</t>
  </si>
  <si>
    <t>Modelo basado en IA de asignación dinámica de capital, con simulación de escenarios, recomendaciones de inversión/desinversión y aprendizaje sobre retornos reales.</t>
  </si>
  <si>
    <t>Generación de estrategias de inversión a partir de las condiciones de mercado consolidadas, el rendimiento financiero interno y los objetivos de la firma; Valoración predictiva de la compañía a partir del análisis de datos financieros; Recomendaciones a nivel de proyecto</t>
  </si>
  <si>
    <t>¿Existen criterios homogéneos de asignación de capital?
¿Se conectan inversiones con estrategia y valor?
¿Se revisa retorno real vs esperado?
¿Se reasignan recursos según evolución?</t>
  </si>
  <si>
    <t>Política de capital allocation; portfolio de inversiones; business cases; actas de comité; benefit tracking; escenarios; decisiones de reasignación.</t>
  </si>
  <si>
    <t>Diseñar modelo de asignación de capital con criterios de valor y riesgo, escenarios, seguimiento de beneficios y revisión dinámica de la cartera.</t>
  </si>
  <si>
    <t>1.3 Inteligencia de mercado, competitiva y financiera</t>
  </si>
  <si>
    <t>Evaluar si Finanzas incorpora información de mercado, competencia, sector, entorno macro y performance interna para orientar decisiones estratégicas.</t>
  </si>
  <si>
    <t>Análisis externo puntual y manual, con baja integración en planificación financiera o decisiones estratégicas.</t>
  </si>
  <si>
    <t>Se realizan análisis de mercado o competencia para decisiones relevantes, aunque con fuentes dispersas y actualización irregular.</t>
  </si>
  <si>
    <t>Proceso estructurado de inteligencia financiera con fuentes, responsables, periodicidad, benchmarks y reporting ejecutivo.</t>
  </si>
  <si>
    <t>Market intelligence integrado con planificación, escenarios, riesgos, capital allocation y performance management.</t>
  </si>
  <si>
    <t>IA monitoriza fuentes internas/externas, sintetiza señales de mercado, identifica implicaciones financieras y recomienda acciones estratégicas.</t>
  </si>
  <si>
    <t>Inteligencia de mercado de nueva generación; Generación de estrategias de inversión a partir de las condiciones de mercado consolidadas; Inteligencia más avanzada</t>
  </si>
  <si>
    <t>¿Se integran señales de mercado en la visión financiera?
¿Existen benchmarks recurrentes?
¿Se analizan competidores y tendencias?
¿Se traducen insights en decisiones?</t>
  </si>
  <si>
    <t>Informes de mercado; benchmarks; análisis de competidores; dashboards externos; actas de comité; escenarios macro/sectoriales.</t>
  </si>
  <si>
    <t>Crear modelo de inteligencia de mercados financieros con fuentes, referencias de mercado, señales externas, implicaciones financieras y rutina ejecutiva.</t>
  </si>
  <si>
    <t>1.4 Gobierno de performance estratégica y salud financiera</t>
  </si>
  <si>
    <t>Evaluar si la dirección financiera monitoriza la salud financiera y el avance estratégico mediante KPIs integrados, alertas, decisiones y acciones.</t>
  </si>
  <si>
    <t>Seguimiento de salud financiera basado en métricas agregadas y reporting histórico, con baja conexión con decisiones estratégicas.</t>
  </si>
  <si>
    <t>KPIs estratégicos definidos parcialmente, con reporting periódico pero análisis limitado de causas, riesgos y acciones.</t>
  </si>
  <si>
    <t>Modelo de performance estratégica con KPIs financieros/no financieros, objetivos, owners, desviaciones y reporting ejecutivo.</t>
  </si>
  <si>
    <t>Monitorización integrada de salud financiera con escenarios, riesgos, oportunidades, acciones y seguimiento de impacto.</t>
  </si>
  <si>
    <t>Panorámica ejecutiva de la salud financiera basada en IA, con alertas tempranas, explicación automática de los drivers y recomendaciones para la dirección.</t>
  </si>
  <si>
    <t>Generación de una visión ejecutiva de la salud financiera de la compañía; FinanceAI Insights Platform; Identificación de patrones históricos para predecir y mejorar el rendimiento financiero futuro</t>
  </si>
  <si>
    <t>¿Existe cuadro de salud financiera?
¿Los KPIs están vinculados a la estrategia?
¿Se explican drivers y riesgos?
¿Se generan decisiones y acciones?</t>
  </si>
  <si>
    <t>Cuadro de mando estratégico; KPIs; targets; actas de comité; análisis de desviaciones; planes de acción; alertas.</t>
  </si>
  <si>
    <t>Implantar cuadro de mando ejecutivo de salud financiera con KPIs estratégicos, drivers, riesgos, alertas, responsables y acciones de seguimiento.</t>
  </si>
  <si>
    <t>Transformación financiera</t>
  </si>
  <si>
    <t>2.1 Estrategia y gobierno de transformación financiera</t>
  </si>
  <si>
    <t>Evaluar si existe una estrategia de transformación financiera clara, gobernada y alineada con prioridades del CFO, capacidades y creación de valor.</t>
  </si>
  <si>
    <t>Transformación financiera gestionada como iniciativas aisladas, con baja coordinación, criterios variables y visión parcial del impacto.</t>
  </si>
  <si>
    <t>Roadmap básico de proyectos financieros, aunque con gobierno limitado, dependencias poco visibles y seguimiento principalmente operativo.</t>
  </si>
  <si>
    <t>Estrategia de transformación financiera definida con portfolio, governance, objetivos, beneficios, owners y cadencia de seguimiento.</t>
  </si>
  <si>
    <t>Gobierno integrado de transformación con prioridades, recursos, dependencias, riesgos, beneficios y reporting ejecutivo del avance.</t>
  </si>
  <si>
    <t>Oficina de transformación apoyada en IA, con priorización dinámica, recomendación de acciones, detección de riesgos y simulación del impacto de la cartera de iniciativas.</t>
  </si>
  <si>
    <t>Recomendaciones a nivel de proyecto; Asistente de código para la transformación digital; FinanceAI Insights Platform</t>
  </si>
  <si>
    <t>¿Existe roadmap de transformación financiera?
¿Hay governance y owners?
¿Se monitorizan beneficios y dependencias?
¿Se prioriza el portfolio por valor y riesgo?</t>
  </si>
  <si>
    <t>Roadmap de transformación; portfolio de iniciativas; comité de transformación; KPIs; benefit tracker; matriz de dependencias; riesgos.</t>
  </si>
  <si>
    <t>Definir modelo de gobierno de transformación financiera con cartera de iniciativas, priorización, dependencias, beneficios, responsables e informes a la dirección.</t>
  </si>
  <si>
    <t>2.2 Rediseño del modelo operativo financiero</t>
  </si>
  <si>
    <t>Evaluar si la transformación financiera rediseña el modelo operativo, roles, servicios, procesos, capacidades y formas de trabajo de Finanzas.</t>
  </si>
  <si>
    <t>Modelo operativo financiero poco documentado, con roles y servicios definidos de forma heterogénea y alta dependencia de personas.</t>
  </si>
  <si>
    <t>Iniciativas de mejora organizativa puntuales, con documentación parcial de roles, procesos o responsabilidades.</t>
  </si>
  <si>
    <t>Modelo operativo definido con funciones, roles, responsabilidades, servicios, procesos, governance y capacidades requeridas.</t>
  </si>
  <si>
    <t>Modelo operativo integrado con tecnología, datos, talento, centros de excelencia, business partnering y mejora continua.</t>
  </si>
  <si>
    <t>Modelo operativo adaptable y basado en IA, con automatización de tareas, reasignación dinámica de capacidad y roles orientados a análisis, control y valor.</t>
  </si>
  <si>
    <t>Asistente de código para la transformación digital; Agentes de IA para ingeniería de software; Automatización de datos financieros de fuentes diversas</t>
  </si>
  <si>
    <t>¿Está definido el modelo operativo financiero?
¿Se identifican servicios y roles objetivo?
¿Se conecta con tecnología y datos?
¿Se mide productividad y capacidad liberada?</t>
  </si>
  <si>
    <t>TOM financiero; RACI; mapa de procesos; catálogo de servicios; estructura organizativa; business partnering model; KPIs de productividad.</t>
  </si>
  <si>
    <t>Diseñar el modelo operativo objetivo de Finanzas con servicios, roles, procesos, capacidades, tecnología, datos y métricas de productividad.</t>
  </si>
  <si>
    <t>2.3 Digitalización, datos y automatización de Finanzas</t>
  </si>
  <si>
    <t>Evaluar si existe una agenda estructurada para modernizar sistemas, datos, automatización, integración y capacidades digitales de la función financiera.</t>
  </si>
  <si>
    <t>Digitalización fragmentada, con alta dependencia de Excel, automatizaciones locales y datos financieros poco integrados.</t>
  </si>
  <si>
    <t>Herramientas y automatizaciones parciales, con integración limitada y casos de uso priorizados de forma no homogénea.</t>
  </si>
  <si>
    <t>Roadmap digital financiero con arquitectura, datos, automatización, casos de uso, ownership y criterios de priorización definidos.</t>
  </si>
  <si>
    <t>Plataforma integrada de datos y automatización, con gobierno de datos, estándares, autoservicio, controles y medición de beneficios.</t>
  </si>
  <si>
    <t>Columna vertebral digital de Finanzas basada en IA, con automatización inteligente, agentes, asistentes, analítica avanzada y recomendaciones proactivas.</t>
  </si>
  <si>
    <t>Asistente de código para la transformación digital; Agentes de IA para ingeniería de software; Búsqueda y acceso a datos en toda la compañía; Acceso a datos para toda la organización</t>
  </si>
  <si>
    <t>¿Existe roadmap digital de Finanzas?
¿Hay arquitectura y gobierno de datos?
¿Se priorizan casos de automatización?
¿Se miden beneficios digitales?</t>
  </si>
  <si>
    <t>Arquitectura objetivo; roadmap digital; catálogo de automatizaciones; data governance; modelos de datos; KPIs de automatización; business cases.</t>
  </si>
  <si>
    <t>Construir hoja de ruta digital de Finanzas con arquitectura, datos, automatización, casos de uso de IA, gobierno y medición de beneficios.</t>
  </si>
  <si>
    <t>2.4 Gestión del cambio, adopción y capacidades digitales</t>
  </si>
  <si>
    <t>Evaluar si la transformación financiera incorpora gestión del cambio, comunicación, formación, adopción y desarrollo de capacidades para sostener el cambio.</t>
  </si>
  <si>
    <t>Gestión del cambio limitada o reactiva, con comunicación puntual y baja medición de adopción o competencias.</t>
  </si>
  <si>
    <t>Planes de comunicación/formación para iniciativas relevantes, aunque con seguimiento parcial de adopción y capacidades.</t>
  </si>
  <si>
    <t>Modelo de change management estructurado con stakeholders, impacto, comunicación, formación, adopción y métricas.</t>
  </si>
  <si>
    <t>Gestión del cambio integrada con roadmap, liderazgo, capacidades digitales, redes de champions y medición de adopción/valor.</t>
  </si>
  <si>
    <t>IA apoya adopción y aprendizaje personalizado, detecta barreras de cambio, recomienda intervenciones y mide uso/impacto de nuevas capacidades.</t>
  </si>
  <si>
    <t>Acceso y extracción documental impulsados por IA; Búsqueda y acceso a datos en toda la compañía; Asistente de código para la transformación digital</t>
  </si>
  <si>
    <t>¿Existe plan de gestión del cambio?
¿Se miden adopción y satisfacción?
¿Se desarrollan capacidades digitales?
¿Se ajustan intervenciones según uso real?</t>
  </si>
  <si>
    <t>Plan de change; mapa de stakeholders; materiales de formación; métricas de adopción; encuestas; red de champions; comunicaciones.</t>
  </si>
  <si>
    <t>Implantar modelo de gestión del cambio con grupos de interés, formación, adopción, referentes internos, métricas de uso y refuerzo de capacidades digitales.</t>
  </si>
  <si>
    <t>Transformación empresarial</t>
  </si>
  <si>
    <t>3.1 Alineamiento de Finanzas con la transformación empresarial</t>
  </si>
  <si>
    <t>Evaluar si Finanzas participa de forma activa en transformaciones corporativas, aportando visión económica, control, financiación, riesgos y medición de valor.</t>
  </si>
  <si>
    <t>Finanzas participa de forma tardía o limitada en transformaciones empresariales, con foco en control presupuestario o reporting ex post.</t>
  </si>
  <si>
    <t>Participación financiera en iniciativas relevantes, aunque con rol variable según proyecto y baja homogeneidad de criterios.</t>
  </si>
  <si>
    <t>Rol de Finanzas definido en transformaciones empresariales, con criterios de business case, funding, control, riesgos y reporting.</t>
  </si>
  <si>
    <t>Finanzas co-lidera transformaciones críticas, integrando valor, recursos, riesgos, dependencias, beneficios y decisiones de portfolio.</t>
  </si>
  <si>
    <t>Finanzas como socio estratégico de la transformación, con IA para identificar oportunidades, riesgos, impactos, dependencias y acciones recomendadas.</t>
  </si>
  <si>
    <t>Recomendaciones a nivel de proyecto; Recomendación, resumen y detección de riesgos a partir de los datos del clean room de M&amp;A; Generación de una visión ejecutiva de la salud financiera de la compañía</t>
  </si>
  <si>
    <t>¿Finanzas participa desde fases tempranas?
¿Existe rol financiero definido en transformaciones?
¿Se conectan business case, funding y beneficios?
¿Se reporta impacto empresarial?</t>
  </si>
  <si>
    <t>Portfolio de transformación; business cases; comités de transformación; roles de Finanzas; reportes de beneficios; decisiones de financiación.</t>
  </si>
  <si>
    <t>Definir el rol de Finanzas en la transformación empresarial con gobierno, business case, financiación, riesgos, beneficios e informes de valor.</t>
  </si>
  <si>
    <t>3.2 Gestión de portfolio de iniciativas estratégicas</t>
  </si>
  <si>
    <t>Evaluar si la organización gestiona iniciativas estratégicas como un portfolio integrado, priorizado por valor, riesgo, capacidad, dependencias y alineamiento.</t>
  </si>
  <si>
    <t>Iniciativas estratégicas gestionadas individualmente, con baja visibilidad consolidada de valor, riesgos y dependencias.</t>
  </si>
  <si>
    <t>Portfolio básico con seguimiento de proyectos principales, aunque la priorización se basa en criterios parciales o cualitativos.</t>
  </si>
  <si>
    <t>Modelo de portfolio definido con criterios de valor, esfuerzo, riesgo, dependencias, capacidad y alineamiento estratégico.</t>
  </si>
  <si>
    <t>Portfolio integrado con planificación financiera, recursos, roadmap, beneficios, escenarios y revisión periódica de prioridades.</t>
  </si>
  <si>
    <t>La IA recomienda la priorización de la cartera de iniciativas, detecta dependencias y riesgos, simula escenarios de ejecución y propone la reasignación de recursos.</t>
  </si>
  <si>
    <t>Recomendaciones a nivel de proyecto; Resumen y puntuación de propuestas de proyecto en toda la organización; Identificación de patrones históricos para predecir y mejorar el rendimiento financiero futuro</t>
  </si>
  <si>
    <t>¿Existe portfolio consolidado de iniciativas?
¿Se prioriza por valor/riesgo/capacidad?
¿Se gestionan dependencias?
¿Se revisa el portfolio periódicamente?</t>
  </si>
  <si>
    <t>Portfolio estratégico; criterios de priorización; roadmap; matriz de dependencias; capacity planning; actas de comité; benefit tracker.</t>
  </si>
  <si>
    <t>Implantar modelo de cartera estratégica con priorización por valor, riesgo, capacidad, dependencias, escenarios y seguimiento de beneficios.</t>
  </si>
  <si>
    <t>3.3 M&amp;A, integración y decisiones corporativas complejas</t>
  </si>
  <si>
    <t>Evaluar la capacidad de Finanzas para apoyar decisiones corporativas complejas como M&amp;A, integraciones, separaciones o restructuraciones con análisis financiero y de riesgo.</t>
  </si>
  <si>
    <t>Soporte financiero a decisiones corporativas complejo, puntual y dependiente de análisis ad hoc o asesores externos.</t>
  </si>
  <si>
    <t>Análisis financiero básico para operaciones relevantes, aunque con baja estandarización de supuestos, riesgos y seguimiento post-deal.</t>
  </si>
  <si>
    <t>Metodología definida para análisis financiero de M&amp;A/integración con valoración, sinergias, costes, riesgos, cash y escenarios.</t>
  </si>
  <si>
    <t>Gestión integrada de decisiones corporativas con due diligence, clean room, integración, sinergias, riesgos, beneficios y governance post-deal.</t>
  </si>
  <si>
    <t>IA analiza información de clean room, resume riesgos, identifica sinergias, modeliza escenarios y recomienda focos de decisión/integración.</t>
  </si>
  <si>
    <t>Recomendación, resumen y detección de riesgos a partir de los datos del clean room de M&amp;A; Valoración predictiva de la compañía a partir del análisis de datos financieros; Generación de estrategias de inversión</t>
  </si>
  <si>
    <t>¿Existe metodología financiera para M&amp;A/integración?
¿Se modelizan sinergias y riesgos?
¿Se conectan decisiones con cash y valor?
¿Se realiza seguimiento post-deal?</t>
  </si>
  <si>
    <t>Modelos de valoración; due diligence; clean room outputs; synergy tracker; integration plan; business case; post-deal review.</t>
  </si>
  <si>
    <t>Diseñar metodología financiera para M&amp;A e integración con valoración, sinergias, riesgos, escenarios, gobierno y seguimiento tras la operación.</t>
  </si>
  <si>
    <t>3.4 Seguimiento de beneficios, valor y aprendizaje empresarial</t>
  </si>
  <si>
    <t>Evaluar si la organización captura, mide y aprende del valor generado por transformaciones empresariales y decisiones estratégicas.</t>
  </si>
  <si>
    <t>Seguimiento de beneficios limitado o inexistente tras aprobar iniciativas, con baja trazabilidad entre promesas de valor y resultados reales.</t>
  </si>
  <si>
    <t>Tracking manual de beneficios en iniciativas relevantes, con criterios y cadencia variables.</t>
  </si>
  <si>
    <t>Modelo de benefit tracking definido con línea base, KPIs, owners, beneficios esperados/reales y reporting periódico.</t>
  </si>
  <si>
    <t>Gestión integrada de valor con estrategia, portfolio, forecast, acciones correctivas, aprendizaje y decisiones de reasignación.</t>
  </si>
  <si>
    <t>IA compara beneficios esperados/reales, detecta patrones de captura de valor, recomienda acciones y retroalimenta futuros business cases.</t>
  </si>
  <si>
    <t>Recomendaciones a nivel de proyecto; Generación de una visión ejecutiva de la salud financiera de la compañía; FinanceAI Insights Platform</t>
  </si>
  <si>
    <t>¿Se miden beneficios reales vs esperados?
¿Hay owners de beneficios?
¿Se conectan resultados con forecast y portfolio?
¿Se incorporan aprendizajes a futuras decisiones?</t>
  </si>
  <si>
    <t>Benefit tracker; líneas base; KPIs de valor; reportes de impacto; acciones correctivas; post-mortems; decisiones de portfolio.</t>
  </si>
  <si>
    <t>Implantar modelo de materialización del valor con línea base, responsables, métricas, seguimiento, acciones correctivas y aprendizaje para futuros casos.</t>
  </si>
  <si>
    <t>Score global dominio</t>
  </si>
  <si>
    <t>Procesos</t>
  </si>
  <si>
    <t>Tecnología</t>
  </si>
  <si>
    <t>Organización</t>
  </si>
  <si>
    <t>Score medio</t>
  </si>
  <si>
    <t>Gap</t>
  </si>
  <si>
    <t>Casos AI asociados</t>
  </si>
  <si>
    <t>Oleada</t>
  </si>
  <si>
    <t>Owner</t>
  </si>
  <si>
    <t>Estado</t>
  </si>
  <si>
    <t>Comentarios</t>
  </si>
  <si>
    <t>No iniciado</t>
  </si>
  <si>
    <t>Aplicación en nivel avanzado</t>
  </si>
  <si>
    <t>Fuente</t>
  </si>
  <si>
    <t>F3M_AI_Mapping_Consolidado_v1.xlsx</t>
  </si>
  <si>
    <t>GUÍAS DE SCORING F3M</t>
  </si>
  <si>
    <t>PROCESOS</t>
  </si>
  <si>
    <t>Proceso inexistente, manual o ad hoc.</t>
  </si>
  <si>
    <t>Proceso parcial, definido con variabilidad y dependencias manuales.</t>
  </si>
  <si>
    <t>Proceso documentado, homogéneo y repetible.</t>
  </si>
  <si>
    <t>Proceso medido, eficiente, con controles y mejora continua.</t>
  </si>
  <si>
    <t>Nivel 5 - Avanzado</t>
  </si>
  <si>
    <t>Proceso integrado end-to-end, orientado a decisión y habilitado por automatización/AI cuando aplique.</t>
  </si>
  <si>
    <t>TECNOLOGÍA</t>
  </si>
  <si>
    <t>Excel/manual, sin integración.</t>
  </si>
  <si>
    <t>Herramientas parciales o locales, con baja integración.</t>
  </si>
  <si>
    <t>Herramienta corporativa y reglas definidas.</t>
  </si>
  <si>
    <t>Integración end-to-end, automatización y controles tecnológicos.</t>
  </si>
  <si>
    <t>Analítica avanzada, AI/GenAI, detección predictiva, autoservicio o workflow inteligente.</t>
  </si>
  <si>
    <t>ORGANIZACIÓN</t>
  </si>
  <si>
    <t>Roles poco claros y alta dependencia de personas.</t>
  </si>
  <si>
    <t>Roles parcialmente definidos y coordinación manual.</t>
  </si>
  <si>
    <t>Roles, ownership y accountability claros.</t>
  </si>
  <si>
    <t>Organización alineada con procesos, KPIs y mejora continua.</t>
  </si>
  <si>
    <t>Equipos orientados a estrategia, transformación, colaboración con negocio y generación de valor.</t>
  </si>
  <si>
    <t>REGLAS DE ORO</t>
  </si>
  <si>
    <t>1</t>
  </si>
  <si>
    <t>Puntuar el estado actual, no el objetivo.</t>
  </si>
  <si>
    <t>2</t>
  </si>
  <si>
    <t>No mezclar palancas: procesos, tecnología y organización se puntúan por separado.</t>
  </si>
  <si>
    <t>3</t>
  </si>
  <si>
    <t>Sustentar cada score con evidencias.</t>
  </si>
  <si>
    <t>4</t>
  </si>
  <si>
    <t>No sobrevalorar la tecnología si el proceso o la adopción no están maduros.</t>
  </si>
  <si>
    <t>F3M - Finanzas Estratégicas | Assessment-ready con AI</t>
  </si>
  <si>
    <t>Uso del fichero</t>
  </si>
  <si>
    <t>1. En Assessment, puntuar cada subcapacidad en las tres palancas: Procesos, Tecnología y Organización.
2. Utilizar valores enteros de 1 a 5, donde 1 = Inicial y 5 = Avanzado/Referente.
3. El Score Medio, Nivel resultante, Gap y Prioridad se calculan automáticamente.
4. Objetivo de madurez utilizado para el gap: Nivel 4 - Optimizado.
5. Resumen consolida resultados por capacidad y gráfico ejecutivo.
6. Heatmap facilita la lectura visual por subcapacidad y palanca.
7. Roadmap convierte gaps en iniciativas sugeridas y oleadas.</t>
  </si>
  <si>
    <t>Dominio</t>
  </si>
  <si>
    <t>Finanzas Estratégicas: Visión financiera, Transformación financiera y Transformación empresarial.</t>
  </si>
  <si>
    <t>Escala F3M</t>
  </si>
  <si>
    <t>1 - Inicial: modelo básico, reactivo, heterogéneo y poco formalizado.
2 - Estructurado: prácticas definidas, con consistencia parcial y dependencias manuales.
3 - Estandarizado: modelo homogéneo, documentado, consistente y controlado.
4 - Optimizado: modelo integrado, medido, con mejora continua y foco en eficiencia/control.
5 - Avanzado/Referente: modelo maduro, estratégico, anticipativo, AI-enabled y orientado a generación de valor.</t>
  </si>
  <si>
    <t>AI Overlay</t>
  </si>
  <si>
    <t>Los casos de uso AI se han mapeado desde F3M_AI_Mapping_Consolidado_v1.xlsx. En capacidades con menor cobertura directa se han usado casos por analogía funcional para construir el nivel avanzado y el roadmap.</t>
  </si>
  <si>
    <t>Buenas prácticas</t>
  </si>
  <si>
    <t>Evaluar situación actual, sustentar el score con evidencias, separar las tres palancas, validar resultados con responsables del dominio y preservar la conexión entre visión, transformación y valor.</t>
  </si>
  <si>
    <t xml:space="preserve">Visión ejecutiva de la salud financiera; Generación de estrategias de inversión; Inteligencia de mercado</t>
  </si>
  <si>
    <t xml:space="preserve">Generación de estrategias de inversión; Valoración predictiva de la compañía; Recomendaciones de acción a nivel de proyecto</t>
  </si>
  <si>
    <t xml:space="preserve">Inteligencia de mercado; Generación de estrategias de inversión; Síntesis multifuente para informes de análisis</t>
  </si>
  <si>
    <t xml:space="preserve">Visión ejecutiva de la salud financiera; Analista digital de Finanzas bajo demanda; Patrones históricos para predecir el rendimiento</t>
  </si>
  <si>
    <t xml:space="preserve">Recomendaciones de acción a nivel de proyecto; Asistente de código para la transformación; Analista digital de Finanzas bajo demanda</t>
  </si>
  <si>
    <t xml:space="preserve">Asistente de código para la transformación; Agentes de IA para ingeniería de software; Integración automatizada de datos financieros</t>
  </si>
  <si>
    <t xml:space="preserve">Asistente de código para la transformación; Agentes de IA para ingeniería de software; Consulta del dato en lenguaje natural</t>
  </si>
  <si>
    <t xml:space="preserve">Acceso y extracción documental; Consulta del dato en lenguaje natural; Asistente de código para la transformación</t>
  </si>
  <si>
    <t xml:space="preserve">Recomendaciones de acción a nivel de proyecto; Análisis del clean room de M&amp;A; Visión ejecutiva de la salud financiera</t>
  </si>
  <si>
    <t xml:space="preserve">Recomendaciones de acción a nivel de proyecto; Resumen y puntuación de propuestas de inversión; Patrones históricos para predecir el rendimiento</t>
  </si>
  <si>
    <t xml:space="preserve">Análisis del clean room de M&amp;A; Valoración predictiva de la compañía; Generación de estrategias de inversión</t>
  </si>
  <si>
    <t xml:space="preserve">Recomendaciones de acción a nivel de proyecto; Visión ejecutiva de la salud financiera; Analista digital de Finanzas bajo demanda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</si>
</sst>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492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Score medio por capacidad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Resumen!$A$2:$A$4</c:f>
              <c:strCache>
                <c:ptCount val="3"/>
                <c:pt idx="0">
                  <c:v>Visión financiera</c:v>
                </c:pt>
                <c:pt idx="1">
                  <c:v>Transformación financiera</c:v>
                </c:pt>
                <c:pt idx="2">
                  <c:v>Transformación empresarial</c:v>
                </c:pt>
              </c:strCache>
            </c:strRef>
          </c:cat>
          <c:val>
            <c:numRef>
              <c:f>Resumen!$E$2:$E$4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B-42DC-AB04-98184668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workbookViewId="0">
      <pane ySplit="1" topLeftCell="A3" activePane="bottomLeft" state="frozen"/>
      <selection pane="bottomLeft" activeCell="B5" sqref="B5"/>
    </sheetView>
  </sheetViews>
  <sheetFormatPr defaultRowHeight="14.4" x14ac:dyDescent="0.3"/>
  <cols>
    <col min="1" max="1" width="32" customWidth="1"/>
    <col min="2" max="2" width="48" customWidth="1"/>
    <col min="3" max="7" width="56" customWidth="1"/>
    <col min="8" max="8" width="60" customWidth="1"/>
    <col min="9" max="9" width="55" customWidth="1"/>
    <col min="10" max="11" width="14" customWidth="1"/>
    <col min="12" max="12" width="16" customWidth="1"/>
    <col min="13" max="13" width="13" customWidth="1"/>
    <col min="14" max="14" width="22" customWidth="1"/>
    <col min="15" max="16" width="14" customWidth="1"/>
    <col min="17" max="17" width="45" customWidth="1"/>
    <col min="18" max="18" width="48" customWidth="1"/>
    <col min="19" max="19" width="60" customWidth="1"/>
    <col min="20" max="20" width="35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84.9" customHeight="1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210</v>
      </c>
      <c r="J2" s="2"/>
      <c r="K2" s="2"/>
      <c r="L2" s="2"/>
      <c r="M2" s="2" t="str">
        <f t="shared" ref="M2:M13" si="0">IF(COUNT(J2:L2)=0,"",ROUND(AVERAGE(J2:L2),0))</f>
        <v/>
      </c>
      <c r="N2" s="2" t="str">
        <f t="shared" ref="N2:N13" si="1">IF(M2="","",CHOOSE(M2,"1 - Inicial","2 - Estructurado","3 - Estandarizado","4 - Optimizado","5 - Avanzado/Referente"))</f>
        <v/>
      </c>
      <c r="O2" s="2" t="str">
        <f t="shared" ref="O2:O13" si="2">IF(M2="","",MAX(0,4-M2))</f>
        <v/>
      </c>
      <c r="P2" s="2" t="str">
        <f t="shared" ref="P2:P13" si="3">IF(O2="","",IF(O2&gt;=3,"Alta",IF(O2=2,"Media",IF(O2=1,"Media","Baja"))))</f>
        <v/>
      </c>
      <c r="Q2" s="2" t="s">
        <v>29</v>
      </c>
      <c r="R2" s="2" t="s">
        <v>30</v>
      </c>
      <c r="S2" s="2" t="s">
        <v>31</v>
      </c>
      <c r="T2" s="2"/>
    </row>
    <row r="3" spans="1:20" ht="84.9" customHeight="1" x14ac:dyDescent="0.3">
      <c r="A3" s="2" t="s">
        <v>20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211</v>
      </c>
      <c r="J3" s="2"/>
      <c r="K3" s="2"/>
      <c r="L3" s="2"/>
      <c r="M3" s="2" t="str">
        <f t="shared" si="0"/>
        <v/>
      </c>
      <c r="N3" s="2" t="str">
        <f t="shared" si="1"/>
        <v/>
      </c>
      <c r="O3" s="2" t="str">
        <f t="shared" si="2"/>
        <v/>
      </c>
      <c r="P3" s="2" t="str">
        <f t="shared" si="3"/>
        <v/>
      </c>
      <c r="Q3" s="2" t="s">
        <v>40</v>
      </c>
      <c r="R3" s="2" t="s">
        <v>41</v>
      </c>
      <c r="S3" s="2" t="s">
        <v>42</v>
      </c>
      <c r="T3" s="2"/>
    </row>
    <row r="4" spans="1:20" ht="84.9" customHeight="1" x14ac:dyDescent="0.3">
      <c r="A4" s="2" t="s">
        <v>20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212</v>
      </c>
      <c r="J4" s="2"/>
      <c r="K4" s="2"/>
      <c r="L4" s="2"/>
      <c r="M4" s="2" t="str">
        <f t="shared" si="0"/>
        <v/>
      </c>
      <c r="N4" s="2" t="str">
        <f t="shared" si="1"/>
        <v/>
      </c>
      <c r="O4" s="2" t="str">
        <f t="shared" si="2"/>
        <v/>
      </c>
      <c r="P4" s="2" t="str">
        <f t="shared" si="3"/>
        <v/>
      </c>
      <c r="Q4" s="2" t="s">
        <v>51</v>
      </c>
      <c r="R4" s="2" t="s">
        <v>52</v>
      </c>
      <c r="S4" s="2" t="s">
        <v>53</v>
      </c>
      <c r="T4" s="2"/>
    </row>
    <row r="5" spans="1:20" ht="84.9" customHeight="1" x14ac:dyDescent="0.3">
      <c r="A5" s="2" t="s">
        <v>20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213</v>
      </c>
      <c r="J5" s="2"/>
      <c r="K5" s="2"/>
      <c r="L5" s="2"/>
      <c r="M5" s="2" t="str">
        <f t="shared" si="0"/>
        <v/>
      </c>
      <c r="N5" s="2" t="str">
        <f t="shared" si="1"/>
        <v/>
      </c>
      <c r="O5" s="2" t="str">
        <f t="shared" si="2"/>
        <v/>
      </c>
      <c r="P5" s="2" t="str">
        <f t="shared" si="3"/>
        <v/>
      </c>
      <c r="Q5" s="2" t="s">
        <v>62</v>
      </c>
      <c r="R5" s="2" t="s">
        <v>63</v>
      </c>
      <c r="S5" s="2" t="s">
        <v>64</v>
      </c>
      <c r="T5" s="2"/>
    </row>
    <row r="6" spans="1:20" ht="84.9" customHeight="1" x14ac:dyDescent="0.3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214</v>
      </c>
      <c r="J6" s="2"/>
      <c r="K6" s="2"/>
      <c r="L6" s="2"/>
      <c r="M6" s="2" t="str">
        <f t="shared" si="0"/>
        <v/>
      </c>
      <c r="N6" s="2" t="str">
        <f t="shared" si="1"/>
        <v/>
      </c>
      <c r="O6" s="2" t="str">
        <f t="shared" si="2"/>
        <v/>
      </c>
      <c r="P6" s="2" t="str">
        <f t="shared" si="3"/>
        <v/>
      </c>
      <c r="Q6" s="2" t="s">
        <v>74</v>
      </c>
      <c r="R6" s="2" t="s">
        <v>75</v>
      </c>
      <c r="S6" s="2" t="s">
        <v>76</v>
      </c>
      <c r="T6" s="2"/>
    </row>
    <row r="7" spans="1:20" ht="84.9" customHeight="1" x14ac:dyDescent="0.3">
      <c r="A7" s="2" t="s">
        <v>65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215</v>
      </c>
      <c r="J7" s="2"/>
      <c r="K7" s="2"/>
      <c r="L7" s="2"/>
      <c r="M7" s="2" t="str">
        <f t="shared" si="0"/>
        <v/>
      </c>
      <c r="N7" s="2" t="str">
        <f t="shared" si="1"/>
        <v/>
      </c>
      <c r="O7" s="2" t="str">
        <f t="shared" si="2"/>
        <v/>
      </c>
      <c r="P7" s="2" t="str">
        <f t="shared" si="3"/>
        <v/>
      </c>
      <c r="Q7" s="2" t="s">
        <v>85</v>
      </c>
      <c r="R7" s="2" t="s">
        <v>86</v>
      </c>
      <c r="S7" s="2" t="s">
        <v>87</v>
      </c>
      <c r="T7" s="2"/>
    </row>
    <row r="8" spans="1:20" ht="84.9" customHeight="1" x14ac:dyDescent="0.3">
      <c r="A8" s="2" t="s">
        <v>65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216</v>
      </c>
      <c r="J8" s="2"/>
      <c r="K8" s="2"/>
      <c r="L8" s="2"/>
      <c r="M8" s="2" t="str">
        <f t="shared" si="0"/>
        <v/>
      </c>
      <c r="N8" s="2" t="str">
        <f t="shared" si="1"/>
        <v/>
      </c>
      <c r="O8" s="2" t="str">
        <f t="shared" si="2"/>
        <v/>
      </c>
      <c r="P8" s="2" t="str">
        <f t="shared" si="3"/>
        <v/>
      </c>
      <c r="Q8" s="2" t="s">
        <v>96</v>
      </c>
      <c r="R8" s="2" t="s">
        <v>97</v>
      </c>
      <c r="S8" s="2" t="s">
        <v>98</v>
      </c>
      <c r="T8" s="2"/>
    </row>
    <row r="9" spans="1:20" ht="84.9" customHeight="1" x14ac:dyDescent="0.3">
      <c r="A9" s="2" t="s">
        <v>65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217</v>
      </c>
      <c r="J9" s="2"/>
      <c r="K9" s="2"/>
      <c r="L9" s="2"/>
      <c r="M9" s="2" t="str">
        <f t="shared" si="0"/>
        <v/>
      </c>
      <c r="N9" s="2" t="str">
        <f t="shared" si="1"/>
        <v/>
      </c>
      <c r="O9" s="2" t="str">
        <f t="shared" si="2"/>
        <v/>
      </c>
      <c r="P9" s="2" t="str">
        <f t="shared" si="3"/>
        <v/>
      </c>
      <c r="Q9" s="2" t="s">
        <v>107</v>
      </c>
      <c r="R9" s="2" t="s">
        <v>108</v>
      </c>
      <c r="S9" s="2" t="s">
        <v>109</v>
      </c>
      <c r="T9" s="2"/>
    </row>
    <row r="10" spans="1:20" ht="84.9" customHeight="1" x14ac:dyDescent="0.3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218</v>
      </c>
      <c r="J10" s="2"/>
      <c r="K10" s="2"/>
      <c r="L10" s="2"/>
      <c r="M10" s="2" t="str">
        <f t="shared" si="0"/>
        <v/>
      </c>
      <c r="N10" s="2" t="str">
        <f t="shared" si="1"/>
        <v/>
      </c>
      <c r="O10" s="2" t="str">
        <f t="shared" si="2"/>
        <v/>
      </c>
      <c r="P10" s="2" t="str">
        <f t="shared" si="3"/>
        <v/>
      </c>
      <c r="Q10" s="2" t="s">
        <v>119</v>
      </c>
      <c r="R10" s="2" t="s">
        <v>120</v>
      </c>
      <c r="S10" s="2" t="s">
        <v>121</v>
      </c>
      <c r="T10" s="2"/>
    </row>
    <row r="11" spans="1:20" ht="84.9" customHeight="1" x14ac:dyDescent="0.3">
      <c r="A11" s="2" t="s">
        <v>110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219</v>
      </c>
      <c r="J11" s="2"/>
      <c r="K11" s="2"/>
      <c r="L11" s="2"/>
      <c r="M11" s="2" t="str">
        <f t="shared" si="0"/>
        <v/>
      </c>
      <c r="N11" s="2" t="str">
        <f t="shared" si="1"/>
        <v/>
      </c>
      <c r="O11" s="2" t="str">
        <f t="shared" si="2"/>
        <v/>
      </c>
      <c r="P11" s="2" t="str">
        <f t="shared" si="3"/>
        <v/>
      </c>
      <c r="Q11" s="2" t="s">
        <v>130</v>
      </c>
      <c r="R11" s="2" t="s">
        <v>131</v>
      </c>
      <c r="S11" s="2" t="s">
        <v>132</v>
      </c>
      <c r="T11" s="2"/>
    </row>
    <row r="12" spans="1:20" ht="84.9" customHeight="1" x14ac:dyDescent="0.3">
      <c r="A12" s="2" t="s">
        <v>110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220</v>
      </c>
      <c r="J12" s="2"/>
      <c r="K12" s="2"/>
      <c r="L12" s="2"/>
      <c r="M12" s="2" t="str">
        <f t="shared" si="0"/>
        <v/>
      </c>
      <c r="N12" s="2" t="str">
        <f t="shared" si="1"/>
        <v/>
      </c>
      <c r="O12" s="2" t="str">
        <f t="shared" si="2"/>
        <v/>
      </c>
      <c r="P12" s="2" t="str">
        <f t="shared" si="3"/>
        <v/>
      </c>
      <c r="Q12" s="2" t="s">
        <v>141</v>
      </c>
      <c r="R12" s="2" t="s">
        <v>142</v>
      </c>
      <c r="S12" s="2" t="s">
        <v>143</v>
      </c>
      <c r="T12" s="2"/>
    </row>
    <row r="13" spans="1:20" ht="84.9" customHeight="1" x14ac:dyDescent="0.3">
      <c r="A13" s="2" t="s">
        <v>110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221</v>
      </c>
      <c r="J13" s="2"/>
      <c r="K13" s="2"/>
      <c r="L13" s="2"/>
      <c r="M13" s="2" t="str">
        <f t="shared" si="0"/>
        <v/>
      </c>
      <c r="N13" s="2" t="str">
        <f t="shared" si="1"/>
        <v/>
      </c>
      <c r="O13" s="2" t="str">
        <f t="shared" si="2"/>
        <v/>
      </c>
      <c r="P13" s="2" t="str">
        <f t="shared" si="3"/>
        <v/>
      </c>
      <c r="Q13" s="2" t="s">
        <v>152</v>
      </c>
      <c r="R13" s="2" t="s">
        <v>153</v>
      </c>
      <c r="S13" s="2" t="s">
        <v>154</v>
      </c>
      <c r="T13" s="2"/>
    </row>
  </sheetData>
  <autoFilter ref="A1:T13" xr:uid="{00000000-0009-0000-0000-000000000000}"/>
  <conditionalFormatting sqref="J2:M1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2:O13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dataValidations count="1">
    <dataValidation type="whole" allowBlank="1" errorTitle="Score no válido" error="Introduce un valor entero entre 1 y 5." sqref="J2:L13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7" width="18" customWidth="1"/>
  </cols>
  <sheetData>
    <row r="1" spans="1:7" ht="30" customHeight="1" x14ac:dyDescent="0.3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14</v>
      </c>
      <c r="G1" s="3" t="s">
        <v>15</v>
      </c>
    </row>
    <row r="2" spans="1:7" ht="30" customHeight="1" x14ac:dyDescent="0.3">
      <c r="A2" s="4" t="s">
        <v>20</v>
      </c>
      <c r="B2" s="4" t="str">
        <f>IFERROR(ROUND(AVERAGEIF(Assessment!$A:$A,A2,Assessment!$J:$J),0),"")</f>
        <v/>
      </c>
      <c r="C2" s="4" t="str">
        <f>IFERROR(ROUND(AVERAGEIF(Assessment!$A:$A,A2,Assessment!$K:$K),0),"")</f>
        <v/>
      </c>
      <c r="D2" s="4" t="str">
        <f>IFERROR(ROUND(AVERAGEIF(Assessment!$A:$A,A2,Assessment!$L:$L),0),"")</f>
        <v/>
      </c>
      <c r="E2" s="4" t="str">
        <f>IFERROR(ROUND(AVERAGE(B2:D2),0),"")</f>
        <v/>
      </c>
      <c r="F2" s="4" t="str">
        <f>IF(E2="","",MAX(0,4-E2))</f>
        <v/>
      </c>
      <c r="G2" s="4" t="str">
        <f>IF(F2="","",IF(F2&gt;=3,"Alta",IF(F2=2,"Media",IF(F2=1,"Media","Baja"))))</f>
        <v/>
      </c>
    </row>
    <row r="3" spans="1:7" ht="30" customHeight="1" x14ac:dyDescent="0.3">
      <c r="A3" s="4" t="s">
        <v>65</v>
      </c>
      <c r="B3" s="4" t="str">
        <f>IFERROR(ROUND(AVERAGEIF(Assessment!$A:$A,A3,Assessment!$J:$J),0),"")</f>
        <v/>
      </c>
      <c r="C3" s="4" t="str">
        <f>IFERROR(ROUND(AVERAGEIF(Assessment!$A:$A,A3,Assessment!$K:$K),0),"")</f>
        <v/>
      </c>
      <c r="D3" s="4" t="str">
        <f>IFERROR(ROUND(AVERAGEIF(Assessment!$A:$A,A3,Assessment!$L:$L),0),"")</f>
        <v/>
      </c>
      <c r="E3" s="4" t="str">
        <f>IFERROR(ROUND(AVERAGE(B3:D3),0),"")</f>
        <v/>
      </c>
      <c r="F3" s="4" t="str">
        <f>IF(E3="","",MAX(0,4-E3))</f>
        <v/>
      </c>
      <c r="G3" s="4" t="str">
        <f>IF(F3="","",IF(F3&gt;=3,"Alta",IF(F3=2,"Media",IF(F3=1,"Media","Baja"))))</f>
        <v/>
      </c>
    </row>
    <row r="4" spans="1:7" ht="30" customHeight="1" x14ac:dyDescent="0.3">
      <c r="A4" s="4" t="s">
        <v>110</v>
      </c>
      <c r="B4" s="4" t="str">
        <f>IFERROR(ROUND(AVERAGEIF(Assessment!$A:$A,A4,Assessment!$J:$J),0),"")</f>
        <v/>
      </c>
      <c r="C4" s="4" t="str">
        <f>IFERROR(ROUND(AVERAGEIF(Assessment!$A:$A,A4,Assessment!$K:$K),0),"")</f>
        <v/>
      </c>
      <c r="D4" s="4" t="str">
        <f>IFERROR(ROUND(AVERAGEIF(Assessment!$A:$A,A4,Assessment!$L:$L),0),"")</f>
        <v/>
      </c>
      <c r="E4" s="4" t="str">
        <f>IFERROR(ROUND(AVERAGE(B4:D4),0),"")</f>
        <v/>
      </c>
      <c r="F4" s="4" t="str">
        <f>IF(E4="","",MAX(0,4-E4))</f>
        <v/>
      </c>
      <c r="G4" s="4" t="str">
        <f>IF(F4="","",IF(F4&gt;=3,"Alta",IF(F4=2,"Media",IF(F4=1,"Media","Baja"))))</f>
        <v/>
      </c>
    </row>
    <row r="5" spans="1:7" ht="30" customHeight="1" x14ac:dyDescent="0.3">
      <c r="A5" s="4" t="s">
        <v>155</v>
      </c>
      <c r="B5" s="4" t="str">
        <f>IFERROR(ROUND(AVERAGE(B2:B4),0),"")</f>
        <v/>
      </c>
      <c r="C5" s="4" t="str">
        <f>IFERROR(ROUND(AVERAGE(C2:C4),0),"")</f>
        <v/>
      </c>
      <c r="D5" s="4" t="str">
        <f>IFERROR(ROUND(AVERAGE(D2:D4),0),"")</f>
        <v/>
      </c>
      <c r="E5" s="4" t="str">
        <f>IFERROR(ROUND(AVERAGE(E2:E4),0),"")</f>
        <v/>
      </c>
      <c r="F5" s="4" t="str">
        <f>IF(E5="","",MAX(0,4-E5))</f>
        <v/>
      </c>
      <c r="G5" s="4" t="str">
        <f>IF(F5="","",IF(F5&gt;=3,"Alta",IF(F5=2,"Media",IF(F5=1,"Media","Baja"))))</f>
        <v/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4" width="12" customWidth="1"/>
    <col min="5" max="5" width="14" customWidth="1"/>
    <col min="6" max="6" width="12" customWidth="1"/>
    <col min="7" max="7" width="10" customWidth="1"/>
    <col min="8" max="8" width="14" customWidth="1"/>
  </cols>
  <sheetData>
    <row r="1" spans="1:8" ht="30" customHeight="1" x14ac:dyDescent="0.3">
      <c r="A1" s="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15</v>
      </c>
    </row>
    <row r="2" spans="1:8" ht="84.9" customHeight="1" x14ac:dyDescent="0.3">
      <c r="A2" s="2" t="s">
        <v>20</v>
      </c>
      <c r="B2" s="2" t="s">
        <v>21</v>
      </c>
      <c r="C2" s="2">
        <f>Assessment!J2</f>
        <v>0</v>
      </c>
      <c r="D2" s="2">
        <f>Assessment!K2</f>
        <v>0</v>
      </c>
      <c r="E2" s="2">
        <f>Assessment!L2</f>
        <v>0</v>
      </c>
      <c r="F2" s="2" t="str">
        <f>Assessment!M2</f>
        <v/>
      </c>
      <c r="G2" s="2" t="str">
        <f>Assessment!O2</f>
        <v/>
      </c>
      <c r="H2" s="2" t="str">
        <f>Assessment!P2</f>
        <v/>
      </c>
    </row>
    <row r="3" spans="1:8" ht="84.9" customHeight="1" x14ac:dyDescent="0.3">
      <c r="A3" s="2" t="s">
        <v>20</v>
      </c>
      <c r="B3" s="2" t="s">
        <v>32</v>
      </c>
      <c r="C3" s="2">
        <f>Assessment!J3</f>
        <v>0</v>
      </c>
      <c r="D3" s="2">
        <f>Assessment!K3</f>
        <v>0</v>
      </c>
      <c r="E3" s="2">
        <f>Assessment!L3</f>
        <v>0</v>
      </c>
      <c r="F3" s="2" t="str">
        <f>Assessment!M3</f>
        <v/>
      </c>
      <c r="G3" s="2" t="str">
        <f>Assessment!O3</f>
        <v/>
      </c>
      <c r="H3" s="2" t="str">
        <f>Assessment!P3</f>
        <v/>
      </c>
    </row>
    <row r="4" spans="1:8" ht="84.9" customHeight="1" x14ac:dyDescent="0.3">
      <c r="A4" s="2" t="s">
        <v>20</v>
      </c>
      <c r="B4" s="2" t="s">
        <v>43</v>
      </c>
      <c r="C4" s="2">
        <f>Assessment!J4</f>
        <v>0</v>
      </c>
      <c r="D4" s="2">
        <f>Assessment!K4</f>
        <v>0</v>
      </c>
      <c r="E4" s="2">
        <f>Assessment!L4</f>
        <v>0</v>
      </c>
      <c r="F4" s="2" t="str">
        <f>Assessment!M4</f>
        <v/>
      </c>
      <c r="G4" s="2" t="str">
        <f>Assessment!O4</f>
        <v/>
      </c>
      <c r="H4" s="2" t="str">
        <f>Assessment!P4</f>
        <v/>
      </c>
    </row>
    <row r="5" spans="1:8" ht="84.9" customHeight="1" x14ac:dyDescent="0.3">
      <c r="A5" s="2" t="s">
        <v>20</v>
      </c>
      <c r="B5" s="2" t="s">
        <v>54</v>
      </c>
      <c r="C5" s="2">
        <f>Assessment!J5</f>
        <v>0</v>
      </c>
      <c r="D5" s="2">
        <f>Assessment!K5</f>
        <v>0</v>
      </c>
      <c r="E5" s="2">
        <f>Assessment!L5</f>
        <v>0</v>
      </c>
      <c r="F5" s="2" t="str">
        <f>Assessment!M5</f>
        <v/>
      </c>
      <c r="G5" s="2" t="str">
        <f>Assessment!O5</f>
        <v/>
      </c>
      <c r="H5" s="2" t="str">
        <f>Assessment!P5</f>
        <v/>
      </c>
    </row>
    <row r="6" spans="1:8" ht="84.9" customHeight="1" x14ac:dyDescent="0.3">
      <c r="A6" s="2" t="s">
        <v>65</v>
      </c>
      <c r="B6" s="2" t="s">
        <v>66</v>
      </c>
      <c r="C6" s="2">
        <f>Assessment!J6</f>
        <v>0</v>
      </c>
      <c r="D6" s="2">
        <f>Assessment!K6</f>
        <v>0</v>
      </c>
      <c r="E6" s="2">
        <f>Assessment!L6</f>
        <v>0</v>
      </c>
      <c r="F6" s="2" t="str">
        <f>Assessment!M6</f>
        <v/>
      </c>
      <c r="G6" s="2" t="str">
        <f>Assessment!O6</f>
        <v/>
      </c>
      <c r="H6" s="2" t="str">
        <f>Assessment!P6</f>
        <v/>
      </c>
    </row>
    <row r="7" spans="1:8" ht="84.9" customHeight="1" x14ac:dyDescent="0.3">
      <c r="A7" s="2" t="s">
        <v>65</v>
      </c>
      <c r="B7" s="2" t="s">
        <v>77</v>
      </c>
      <c r="C7" s="2">
        <f>Assessment!J7</f>
        <v>0</v>
      </c>
      <c r="D7" s="2">
        <f>Assessment!K7</f>
        <v>0</v>
      </c>
      <c r="E7" s="2">
        <f>Assessment!L7</f>
        <v>0</v>
      </c>
      <c r="F7" s="2" t="str">
        <f>Assessment!M7</f>
        <v/>
      </c>
      <c r="G7" s="2" t="str">
        <f>Assessment!O7</f>
        <v/>
      </c>
      <c r="H7" s="2" t="str">
        <f>Assessment!P7</f>
        <v/>
      </c>
    </row>
    <row r="8" spans="1:8" ht="84.9" customHeight="1" x14ac:dyDescent="0.3">
      <c r="A8" s="2" t="s">
        <v>65</v>
      </c>
      <c r="B8" s="2" t="s">
        <v>88</v>
      </c>
      <c r="C8" s="2">
        <f>Assessment!J8</f>
        <v>0</v>
      </c>
      <c r="D8" s="2">
        <f>Assessment!K8</f>
        <v>0</v>
      </c>
      <c r="E8" s="2">
        <f>Assessment!L8</f>
        <v>0</v>
      </c>
      <c r="F8" s="2" t="str">
        <f>Assessment!M8</f>
        <v/>
      </c>
      <c r="G8" s="2" t="str">
        <f>Assessment!O8</f>
        <v/>
      </c>
      <c r="H8" s="2" t="str">
        <f>Assessment!P8</f>
        <v/>
      </c>
    </row>
    <row r="9" spans="1:8" ht="84.9" customHeight="1" x14ac:dyDescent="0.3">
      <c r="A9" s="2" t="s">
        <v>65</v>
      </c>
      <c r="B9" s="2" t="s">
        <v>99</v>
      </c>
      <c r="C9" s="2">
        <f>Assessment!J9</f>
        <v>0</v>
      </c>
      <c r="D9" s="2">
        <f>Assessment!K9</f>
        <v>0</v>
      </c>
      <c r="E9" s="2">
        <f>Assessment!L9</f>
        <v>0</v>
      </c>
      <c r="F9" s="2" t="str">
        <f>Assessment!M9</f>
        <v/>
      </c>
      <c r="G9" s="2" t="str">
        <f>Assessment!O9</f>
        <v/>
      </c>
      <c r="H9" s="2" t="str">
        <f>Assessment!P9</f>
        <v/>
      </c>
    </row>
    <row r="10" spans="1:8" ht="84.9" customHeight="1" x14ac:dyDescent="0.3">
      <c r="A10" s="2" t="s">
        <v>110</v>
      </c>
      <c r="B10" s="2" t="s">
        <v>111</v>
      </c>
      <c r="C10" s="2">
        <f>Assessment!J10</f>
        <v>0</v>
      </c>
      <c r="D10" s="2">
        <f>Assessment!K10</f>
        <v>0</v>
      </c>
      <c r="E10" s="2">
        <f>Assessment!L10</f>
        <v>0</v>
      </c>
      <c r="F10" s="2" t="str">
        <f>Assessment!M10</f>
        <v/>
      </c>
      <c r="G10" s="2" t="str">
        <f>Assessment!O10</f>
        <v/>
      </c>
      <c r="H10" s="2" t="str">
        <f>Assessment!P10</f>
        <v/>
      </c>
    </row>
    <row r="11" spans="1:8" ht="84.9" customHeight="1" x14ac:dyDescent="0.3">
      <c r="A11" s="2" t="s">
        <v>110</v>
      </c>
      <c r="B11" s="2" t="s">
        <v>122</v>
      </c>
      <c r="C11" s="2">
        <f>Assessment!J11</f>
        <v>0</v>
      </c>
      <c r="D11" s="2">
        <f>Assessment!K11</f>
        <v>0</v>
      </c>
      <c r="E11" s="2">
        <f>Assessment!L11</f>
        <v>0</v>
      </c>
      <c r="F11" s="2" t="str">
        <f>Assessment!M11</f>
        <v/>
      </c>
      <c r="G11" s="2" t="str">
        <f>Assessment!O11</f>
        <v/>
      </c>
      <c r="H11" s="2" t="str">
        <f>Assessment!P11</f>
        <v/>
      </c>
    </row>
    <row r="12" spans="1:8" ht="84.9" customHeight="1" x14ac:dyDescent="0.3">
      <c r="A12" s="2" t="s">
        <v>110</v>
      </c>
      <c r="B12" s="2" t="s">
        <v>133</v>
      </c>
      <c r="C12" s="2">
        <f>Assessment!J12</f>
        <v>0</v>
      </c>
      <c r="D12" s="2">
        <f>Assessment!K12</f>
        <v>0</v>
      </c>
      <c r="E12" s="2">
        <f>Assessment!L12</f>
        <v>0</v>
      </c>
      <c r="F12" s="2" t="str">
        <f>Assessment!M12</f>
        <v/>
      </c>
      <c r="G12" s="2" t="str">
        <f>Assessment!O12</f>
        <v/>
      </c>
      <c r="H12" s="2" t="str">
        <f>Assessment!P12</f>
        <v/>
      </c>
    </row>
    <row r="13" spans="1:8" ht="84.9" customHeight="1" x14ac:dyDescent="0.3">
      <c r="A13" s="2" t="s">
        <v>110</v>
      </c>
      <c r="B13" s="2" t="s">
        <v>144</v>
      </c>
      <c r="C13" s="2">
        <f>Assessment!J13</f>
        <v>0</v>
      </c>
      <c r="D13" s="2">
        <f>Assessment!K13</f>
        <v>0</v>
      </c>
      <c r="E13" s="2">
        <f>Assessment!L13</f>
        <v>0</v>
      </c>
      <c r="F13" s="2" t="str">
        <f>Assessment!M13</f>
        <v/>
      </c>
      <c r="G13" s="2" t="str">
        <f>Assessment!O13</f>
        <v/>
      </c>
      <c r="H13" s="2" t="str">
        <f>Assessment!P13</f>
        <v/>
      </c>
    </row>
  </sheetData>
  <autoFilter ref="A1:H13" xr:uid="{00000000-0009-0000-0000-000002000000}"/>
  <conditionalFormatting sqref="C2:F13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G2:G13">
    <cfRule type="colorScale" priority="2">
      <colorScale>
        <cfvo type="num" val="0"/>
        <cfvo type="num" val="2"/>
        <cfvo type="num" val="4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3" width="10" customWidth="1"/>
    <col min="4" max="4" width="14" customWidth="1"/>
    <col min="5" max="5" width="65" customWidth="1"/>
    <col min="6" max="6" width="58" customWidth="1"/>
    <col min="7" max="7" width="14" customWidth="1"/>
    <col min="8" max="8" width="18" customWidth="1"/>
    <col min="9" max="9" width="16" customWidth="1"/>
    <col min="10" max="10" width="35" customWidth="1"/>
  </cols>
  <sheetData>
    <row r="1" spans="1:10" ht="30" customHeight="1" x14ac:dyDescent="0.3">
      <c r="A1" s="1" t="s">
        <v>0</v>
      </c>
      <c r="B1" s="1" t="s">
        <v>1</v>
      </c>
      <c r="C1" s="1" t="s">
        <v>160</v>
      </c>
      <c r="D1" s="1" t="s">
        <v>15</v>
      </c>
      <c r="E1" s="1" t="s">
        <v>18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</row>
    <row r="2" spans="1:10" ht="84.9" customHeight="1" x14ac:dyDescent="0.3">
      <c r="A2" s="2" t="s">
        <v>20</v>
      </c>
      <c r="B2" s="2" t="s">
        <v>21</v>
      </c>
      <c r="C2" s="2" t="str">
        <f>Assessment!O2</f>
        <v/>
      </c>
      <c r="D2" s="2" t="str">
        <f>Assessment!P2</f>
        <v/>
      </c>
      <c r="E2" s="2" t="s">
        <v>31</v>
      </c>
      <c r="F2" s="2" t="s">
        <v>210</v>
      </c>
      <c r="G2" s="2" t="str">
        <f t="shared" ref="G2:G13" si="0">IF(C2="","",IF(C2&gt;=3,"Oleada 1",IF(C2=2,"Oleada 2",IF(C2=1,"Oleada 3",""))))</f>
        <v/>
      </c>
      <c r="H2" s="2"/>
      <c r="I2" s="2" t="s">
        <v>166</v>
      </c>
      <c r="J2" s="2"/>
    </row>
    <row r="3" spans="1:10" ht="84.9" customHeight="1" x14ac:dyDescent="0.3">
      <c r="A3" s="2" t="s">
        <v>20</v>
      </c>
      <c r="B3" s="2" t="s">
        <v>32</v>
      </c>
      <c r="C3" s="2" t="str">
        <f>Assessment!O3</f>
        <v/>
      </c>
      <c r="D3" s="2" t="str">
        <f>Assessment!P3</f>
        <v/>
      </c>
      <c r="E3" s="2" t="s">
        <v>42</v>
      </c>
      <c r="F3" s="2" t="s">
        <v>211</v>
      </c>
      <c r="G3" s="2" t="str">
        <f t="shared" si="0"/>
        <v/>
      </c>
      <c r="H3" s="2"/>
      <c r="I3" s="2" t="s">
        <v>166</v>
      </c>
      <c r="J3" s="2"/>
    </row>
    <row r="4" spans="1:10" ht="84.9" customHeight="1" x14ac:dyDescent="0.3">
      <c r="A4" s="2" t="s">
        <v>20</v>
      </c>
      <c r="B4" s="2" t="s">
        <v>43</v>
      </c>
      <c r="C4" s="2" t="str">
        <f>Assessment!O4</f>
        <v/>
      </c>
      <c r="D4" s="2" t="str">
        <f>Assessment!P4</f>
        <v/>
      </c>
      <c r="E4" s="2" t="s">
        <v>53</v>
      </c>
      <c r="F4" s="2" t="s">
        <v>212</v>
      </c>
      <c r="G4" s="2" t="str">
        <f t="shared" si="0"/>
        <v/>
      </c>
      <c r="H4" s="2"/>
      <c r="I4" s="2" t="s">
        <v>166</v>
      </c>
      <c r="J4" s="2"/>
    </row>
    <row r="5" spans="1:10" ht="84.9" customHeight="1" x14ac:dyDescent="0.3">
      <c r="A5" s="2" t="s">
        <v>20</v>
      </c>
      <c r="B5" s="2" t="s">
        <v>54</v>
      </c>
      <c r="C5" s="2" t="str">
        <f>Assessment!O5</f>
        <v/>
      </c>
      <c r="D5" s="2" t="str">
        <f>Assessment!P5</f>
        <v/>
      </c>
      <c r="E5" s="2" t="s">
        <v>64</v>
      </c>
      <c r="F5" s="2" t="s">
        <v>213</v>
      </c>
      <c r="G5" s="2" t="str">
        <f t="shared" si="0"/>
        <v/>
      </c>
      <c r="H5" s="2"/>
      <c r="I5" s="2" t="s">
        <v>166</v>
      </c>
      <c r="J5" s="2"/>
    </row>
    <row r="6" spans="1:10" ht="84.9" customHeight="1" x14ac:dyDescent="0.3">
      <c r="A6" s="2" t="s">
        <v>65</v>
      </c>
      <c r="B6" s="2" t="s">
        <v>66</v>
      </c>
      <c r="C6" s="2" t="str">
        <f>Assessment!O6</f>
        <v/>
      </c>
      <c r="D6" s="2" t="str">
        <f>Assessment!P6</f>
        <v/>
      </c>
      <c r="E6" s="2" t="s">
        <v>76</v>
      </c>
      <c r="F6" s="2" t="s">
        <v>214</v>
      </c>
      <c r="G6" s="2" t="str">
        <f t="shared" si="0"/>
        <v/>
      </c>
      <c r="H6" s="2"/>
      <c r="I6" s="2" t="s">
        <v>166</v>
      </c>
      <c r="J6" s="2"/>
    </row>
    <row r="7" spans="1:10" ht="84.9" customHeight="1" x14ac:dyDescent="0.3">
      <c r="A7" s="2" t="s">
        <v>65</v>
      </c>
      <c r="B7" s="2" t="s">
        <v>77</v>
      </c>
      <c r="C7" s="2" t="str">
        <f>Assessment!O7</f>
        <v/>
      </c>
      <c r="D7" s="2" t="str">
        <f>Assessment!P7</f>
        <v/>
      </c>
      <c r="E7" s="2" t="s">
        <v>87</v>
      </c>
      <c r="F7" s="2" t="s">
        <v>215</v>
      </c>
      <c r="G7" s="2" t="str">
        <f t="shared" si="0"/>
        <v/>
      </c>
      <c r="H7" s="2"/>
      <c r="I7" s="2" t="s">
        <v>166</v>
      </c>
      <c r="J7" s="2"/>
    </row>
    <row r="8" spans="1:10" ht="84.9" customHeight="1" x14ac:dyDescent="0.3">
      <c r="A8" s="2" t="s">
        <v>65</v>
      </c>
      <c r="B8" s="2" t="s">
        <v>88</v>
      </c>
      <c r="C8" s="2" t="str">
        <f>Assessment!O8</f>
        <v/>
      </c>
      <c r="D8" s="2" t="str">
        <f>Assessment!P8</f>
        <v/>
      </c>
      <c r="E8" s="2" t="s">
        <v>98</v>
      </c>
      <c r="F8" s="2" t="s">
        <v>216</v>
      </c>
      <c r="G8" s="2" t="str">
        <f t="shared" si="0"/>
        <v/>
      </c>
      <c r="H8" s="2"/>
      <c r="I8" s="2" t="s">
        <v>166</v>
      </c>
      <c r="J8" s="2"/>
    </row>
    <row r="9" spans="1:10" ht="84.9" customHeight="1" x14ac:dyDescent="0.3">
      <c r="A9" s="2" t="s">
        <v>65</v>
      </c>
      <c r="B9" s="2" t="s">
        <v>99</v>
      </c>
      <c r="C9" s="2" t="str">
        <f>Assessment!O9</f>
        <v/>
      </c>
      <c r="D9" s="2" t="str">
        <f>Assessment!P9</f>
        <v/>
      </c>
      <c r="E9" s="2" t="s">
        <v>109</v>
      </c>
      <c r="F9" s="2" t="s">
        <v>217</v>
      </c>
      <c r="G9" s="2" t="str">
        <f t="shared" si="0"/>
        <v/>
      </c>
      <c r="H9" s="2"/>
      <c r="I9" s="2" t="s">
        <v>166</v>
      </c>
      <c r="J9" s="2"/>
    </row>
    <row r="10" spans="1:10" ht="84.9" customHeight="1" x14ac:dyDescent="0.3">
      <c r="A10" s="2" t="s">
        <v>110</v>
      </c>
      <c r="B10" s="2" t="s">
        <v>111</v>
      </c>
      <c r="C10" s="2" t="str">
        <f>Assessment!O10</f>
        <v/>
      </c>
      <c r="D10" s="2" t="str">
        <f>Assessment!P10</f>
        <v/>
      </c>
      <c r="E10" s="2" t="s">
        <v>121</v>
      </c>
      <c r="F10" s="2" t="s">
        <v>218</v>
      </c>
      <c r="G10" s="2" t="str">
        <f t="shared" si="0"/>
        <v/>
      </c>
      <c r="H10" s="2"/>
      <c r="I10" s="2" t="s">
        <v>166</v>
      </c>
      <c r="J10" s="2"/>
    </row>
    <row r="11" spans="1:10" ht="84.9" customHeight="1" x14ac:dyDescent="0.3">
      <c r="A11" s="2" t="s">
        <v>110</v>
      </c>
      <c r="B11" s="2" t="s">
        <v>122</v>
      </c>
      <c r="C11" s="2" t="str">
        <f>Assessment!O11</f>
        <v/>
      </c>
      <c r="D11" s="2" t="str">
        <f>Assessment!P11</f>
        <v/>
      </c>
      <c r="E11" s="2" t="s">
        <v>132</v>
      </c>
      <c r="F11" s="2" t="s">
        <v>219</v>
      </c>
      <c r="G11" s="2" t="str">
        <f t="shared" si="0"/>
        <v/>
      </c>
      <c r="H11" s="2"/>
      <c r="I11" s="2" t="s">
        <v>166</v>
      </c>
      <c r="J11" s="2"/>
    </row>
    <row r="12" spans="1:10" ht="84.9" customHeight="1" x14ac:dyDescent="0.3">
      <c r="A12" s="2" t="s">
        <v>110</v>
      </c>
      <c r="B12" s="2" t="s">
        <v>133</v>
      </c>
      <c r="C12" s="2" t="str">
        <f>Assessment!O12</f>
        <v/>
      </c>
      <c r="D12" s="2" t="str">
        <f>Assessment!P12</f>
        <v/>
      </c>
      <c r="E12" s="2" t="s">
        <v>143</v>
      </c>
      <c r="F12" s="2" t="s">
        <v>220</v>
      </c>
      <c r="G12" s="2" t="str">
        <f t="shared" si="0"/>
        <v/>
      </c>
      <c r="H12" s="2"/>
      <c r="I12" s="2" t="s">
        <v>166</v>
      </c>
      <c r="J12" s="2"/>
    </row>
    <row r="13" spans="1:10" ht="84.9" customHeight="1" x14ac:dyDescent="0.3">
      <c r="A13" s="2" t="s">
        <v>110</v>
      </c>
      <c r="B13" s="2" t="s">
        <v>144</v>
      </c>
      <c r="C13" s="2" t="str">
        <f>Assessment!O13</f>
        <v/>
      </c>
      <c r="D13" s="2" t="str">
        <f>Assessment!P13</f>
        <v/>
      </c>
      <c r="E13" s="2" t="s">
        <v>154</v>
      </c>
      <c r="F13" s="2" t="s">
        <v>221</v>
      </c>
      <c r="G13" s="2" t="str">
        <f t="shared" si="0"/>
        <v/>
      </c>
      <c r="H13" s="2"/>
      <c r="I13" s="2" t="s">
        <v>166</v>
      </c>
      <c r="J13" s="2"/>
    </row>
  </sheetData>
  <autoFilter ref="A1:J13" xr:uid="{00000000-0009-0000-0000-000003000000}"/>
  <dataValidations count="1">
    <dataValidation type="list" allowBlank="1" sqref="I2:I13" xr:uid="{00000000-0002-0000-0300-000000000000}">
      <formula1>"No iniciado,En curso,Completado,En pausa"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2" customWidth="1"/>
    <col min="3" max="3" width="65" customWidth="1"/>
    <col min="4" max="4" width="80" customWidth="1"/>
    <col min="5" max="5" width="35" customWidth="1"/>
  </cols>
  <sheetData>
    <row r="1" spans="1:5" ht="30" customHeight="1" x14ac:dyDescent="0.3">
      <c r="A1" s="1" t="s">
        <v>0</v>
      </c>
      <c r="B1" s="1" t="s">
        <v>1</v>
      </c>
      <c r="C1" s="1" t="s">
        <v>8</v>
      </c>
      <c r="D1" s="1" t="s">
        <v>167</v>
      </c>
      <c r="E1" s="1" t="s">
        <v>168</v>
      </c>
    </row>
    <row r="2" spans="1:5" ht="84.9" customHeight="1" x14ac:dyDescent="0.3">
      <c r="A2" s="2" t="s">
        <v>20</v>
      </c>
      <c r="B2" s="2" t="s">
        <v>21</v>
      </c>
      <c r="C2" s="2" t="s">
        <v>210</v>
      </c>
      <c r="D2" s="2" t="s">
        <v>27</v>
      </c>
      <c r="E2" s="2" t="s">
        <v>169</v>
      </c>
    </row>
    <row r="3" spans="1:5" ht="84.9" customHeight="1" x14ac:dyDescent="0.3">
      <c r="A3" s="2" t="s">
        <v>20</v>
      </c>
      <c r="B3" s="2" t="s">
        <v>32</v>
      </c>
      <c r="C3" s="2" t="s">
        <v>211</v>
      </c>
      <c r="D3" s="2" t="s">
        <v>38</v>
      </c>
      <c r="E3" s="2" t="s">
        <v>169</v>
      </c>
    </row>
    <row r="4" spans="1:5" ht="84.9" customHeight="1" x14ac:dyDescent="0.3">
      <c r="A4" s="2" t="s">
        <v>20</v>
      </c>
      <c r="B4" s="2" t="s">
        <v>43</v>
      </c>
      <c r="C4" s="2" t="s">
        <v>212</v>
      </c>
      <c r="D4" s="2" t="s">
        <v>49</v>
      </c>
      <c r="E4" s="2" t="s">
        <v>169</v>
      </c>
    </row>
    <row r="5" spans="1:5" ht="84.9" customHeight="1" x14ac:dyDescent="0.3">
      <c r="A5" s="2" t="s">
        <v>20</v>
      </c>
      <c r="B5" s="2" t="s">
        <v>54</v>
      </c>
      <c r="C5" s="2" t="s">
        <v>213</v>
      </c>
      <c r="D5" s="2" t="s">
        <v>60</v>
      </c>
      <c r="E5" s="2" t="s">
        <v>169</v>
      </c>
    </row>
    <row r="6" spans="1:5" ht="84.9" customHeight="1" x14ac:dyDescent="0.3">
      <c r="A6" s="2" t="s">
        <v>65</v>
      </c>
      <c r="B6" s="2" t="s">
        <v>66</v>
      </c>
      <c r="C6" s="2" t="s">
        <v>214</v>
      </c>
      <c r="D6" s="2" t="s">
        <v>72</v>
      </c>
      <c r="E6" s="2" t="s">
        <v>169</v>
      </c>
    </row>
    <row r="7" spans="1:5" ht="84.9" customHeight="1" x14ac:dyDescent="0.3">
      <c r="A7" s="2" t="s">
        <v>65</v>
      </c>
      <c r="B7" s="2" t="s">
        <v>77</v>
      </c>
      <c r="C7" s="2" t="s">
        <v>215</v>
      </c>
      <c r="D7" s="2" t="s">
        <v>83</v>
      </c>
      <c r="E7" s="2" t="s">
        <v>169</v>
      </c>
    </row>
    <row r="8" spans="1:5" ht="84.9" customHeight="1" x14ac:dyDescent="0.3">
      <c r="A8" s="2" t="s">
        <v>65</v>
      </c>
      <c r="B8" s="2" t="s">
        <v>88</v>
      </c>
      <c r="C8" s="2" t="s">
        <v>216</v>
      </c>
      <c r="D8" s="2" t="s">
        <v>94</v>
      </c>
      <c r="E8" s="2" t="s">
        <v>169</v>
      </c>
    </row>
    <row r="9" spans="1:5" ht="84.9" customHeight="1" x14ac:dyDescent="0.3">
      <c r="A9" s="2" t="s">
        <v>65</v>
      </c>
      <c r="B9" s="2" t="s">
        <v>99</v>
      </c>
      <c r="C9" s="2" t="s">
        <v>217</v>
      </c>
      <c r="D9" s="2" t="s">
        <v>105</v>
      </c>
      <c r="E9" s="2" t="s">
        <v>169</v>
      </c>
    </row>
    <row r="10" spans="1:5" ht="84.9" customHeight="1" x14ac:dyDescent="0.3">
      <c r="A10" s="2" t="s">
        <v>110</v>
      </c>
      <c r="B10" s="2" t="s">
        <v>111</v>
      </c>
      <c r="C10" s="2" t="s">
        <v>218</v>
      </c>
      <c r="D10" s="2" t="s">
        <v>117</v>
      </c>
      <c r="E10" s="2" t="s">
        <v>169</v>
      </c>
    </row>
    <row r="11" spans="1:5" ht="84.9" customHeight="1" x14ac:dyDescent="0.3">
      <c r="A11" s="2" t="s">
        <v>110</v>
      </c>
      <c r="B11" s="2" t="s">
        <v>122</v>
      </c>
      <c r="C11" s="2" t="s">
        <v>219</v>
      </c>
      <c r="D11" s="2" t="s">
        <v>128</v>
      </c>
      <c r="E11" s="2" t="s">
        <v>169</v>
      </c>
    </row>
    <row r="12" spans="1:5" ht="84.9" customHeight="1" x14ac:dyDescent="0.3">
      <c r="A12" s="2" t="s">
        <v>110</v>
      </c>
      <c r="B12" s="2" t="s">
        <v>133</v>
      </c>
      <c r="C12" s="2" t="s">
        <v>220</v>
      </c>
      <c r="D12" s="2" t="s">
        <v>139</v>
      </c>
      <c r="E12" s="2" t="s">
        <v>169</v>
      </c>
    </row>
    <row r="13" spans="1:5" ht="84.9" customHeight="1" x14ac:dyDescent="0.3">
      <c r="A13" s="2" t="s">
        <v>110</v>
      </c>
      <c r="B13" s="2" t="s">
        <v>144</v>
      </c>
      <c r="C13" s="2" t="s">
        <v>221</v>
      </c>
      <c r="D13" s="2" t="s">
        <v>150</v>
      </c>
      <c r="E13" s="2" t="s">
        <v>169</v>
      </c>
    </row>
  </sheetData>
  <autoFilter ref="A1:E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workbookViewId="0"/>
  </sheetViews>
  <sheetFormatPr defaultRowHeight="14.4" x14ac:dyDescent="0.3"/>
  <cols>
    <col min="1" max="1" width="28" customWidth="1"/>
    <col min="2" max="2" width="95" customWidth="1"/>
  </cols>
  <sheetData>
    <row r="1" spans="1:2" ht="30" customHeight="1" x14ac:dyDescent="0.3">
      <c r="A1" s="1" t="s">
        <v>170</v>
      </c>
      <c r="B1" s="1"/>
    </row>
    <row r="2" spans="1:2" ht="30" customHeight="1" x14ac:dyDescent="0.3">
      <c r="A2" s="5" t="s">
        <v>171</v>
      </c>
      <c r="B2" s="5"/>
    </row>
    <row r="3" spans="1:2" ht="30" customHeight="1" x14ac:dyDescent="0.3">
      <c r="A3" s="2" t="s">
        <v>3</v>
      </c>
      <c r="B3" s="2" t="s">
        <v>172</v>
      </c>
    </row>
    <row r="4" spans="1:2" ht="30" customHeight="1" x14ac:dyDescent="0.3">
      <c r="A4" s="2" t="s">
        <v>4</v>
      </c>
      <c r="B4" s="2" t="s">
        <v>173</v>
      </c>
    </row>
    <row r="5" spans="1:2" ht="30" customHeight="1" x14ac:dyDescent="0.3">
      <c r="A5" s="2" t="s">
        <v>5</v>
      </c>
      <c r="B5" s="2" t="s">
        <v>174</v>
      </c>
    </row>
    <row r="6" spans="1:2" ht="30" customHeight="1" x14ac:dyDescent="0.3">
      <c r="A6" s="2" t="s">
        <v>6</v>
      </c>
      <c r="B6" s="2" t="s">
        <v>175</v>
      </c>
    </row>
    <row r="7" spans="1:2" ht="30" customHeight="1" x14ac:dyDescent="0.3">
      <c r="A7" s="2" t="s">
        <v>176</v>
      </c>
      <c r="B7" s="2" t="s">
        <v>177</v>
      </c>
    </row>
    <row r="8" spans="1:2" ht="30" customHeight="1" x14ac:dyDescent="0.3">
      <c r="A8" s="2"/>
      <c r="B8" s="2"/>
    </row>
    <row r="9" spans="1:2" ht="30" customHeight="1" x14ac:dyDescent="0.3">
      <c r="A9" s="5" t="s">
        <v>178</v>
      </c>
      <c r="B9" s="5"/>
    </row>
    <row r="10" spans="1:2" ht="30" customHeight="1" x14ac:dyDescent="0.3">
      <c r="A10" s="2" t="s">
        <v>3</v>
      </c>
      <c r="B10" s="2" t="s">
        <v>179</v>
      </c>
    </row>
    <row r="11" spans="1:2" ht="30" customHeight="1" x14ac:dyDescent="0.3">
      <c r="A11" s="2" t="s">
        <v>4</v>
      </c>
      <c r="B11" s="2" t="s">
        <v>180</v>
      </c>
    </row>
    <row r="12" spans="1:2" ht="30" customHeight="1" x14ac:dyDescent="0.3">
      <c r="A12" s="2" t="s">
        <v>5</v>
      </c>
      <c r="B12" s="2" t="s">
        <v>181</v>
      </c>
    </row>
    <row r="13" spans="1:2" ht="30" customHeight="1" x14ac:dyDescent="0.3">
      <c r="A13" s="2" t="s">
        <v>6</v>
      </c>
      <c r="B13" s="2" t="s">
        <v>182</v>
      </c>
    </row>
    <row r="14" spans="1:2" ht="30" customHeight="1" x14ac:dyDescent="0.3">
      <c r="A14" s="2" t="s">
        <v>176</v>
      </c>
      <c r="B14" s="2" t="s">
        <v>183</v>
      </c>
    </row>
    <row r="15" spans="1:2" ht="30" customHeight="1" x14ac:dyDescent="0.3">
      <c r="A15" s="2"/>
      <c r="B15" s="2"/>
    </row>
    <row r="16" spans="1:2" ht="30" customHeight="1" x14ac:dyDescent="0.3">
      <c r="A16" s="5" t="s">
        <v>184</v>
      </c>
      <c r="B16" s="5"/>
    </row>
    <row r="17" spans="1:2" ht="30" customHeight="1" x14ac:dyDescent="0.3">
      <c r="A17" s="2" t="s">
        <v>3</v>
      </c>
      <c r="B17" s="2" t="s">
        <v>185</v>
      </c>
    </row>
    <row r="18" spans="1:2" ht="30" customHeight="1" x14ac:dyDescent="0.3">
      <c r="A18" s="2" t="s">
        <v>4</v>
      </c>
      <c r="B18" s="2" t="s">
        <v>186</v>
      </c>
    </row>
    <row r="19" spans="1:2" ht="30" customHeight="1" x14ac:dyDescent="0.3">
      <c r="A19" s="2" t="s">
        <v>5</v>
      </c>
      <c r="B19" s="2" t="s">
        <v>187</v>
      </c>
    </row>
    <row r="20" spans="1:2" ht="30" customHeight="1" x14ac:dyDescent="0.3">
      <c r="A20" s="2" t="s">
        <v>6</v>
      </c>
      <c r="B20" s="2" t="s">
        <v>188</v>
      </c>
    </row>
    <row r="21" spans="1:2" ht="30" customHeight="1" x14ac:dyDescent="0.3">
      <c r="A21" s="2" t="s">
        <v>176</v>
      </c>
      <c r="B21" s="2" t="s">
        <v>189</v>
      </c>
    </row>
    <row r="22" spans="1:2" ht="30" customHeight="1" x14ac:dyDescent="0.3">
      <c r="A22" s="2"/>
      <c r="B22" s="2"/>
    </row>
    <row r="23" spans="1:2" ht="30" customHeight="1" x14ac:dyDescent="0.3">
      <c r="A23" s="5" t="s">
        <v>190</v>
      </c>
      <c r="B23" s="5"/>
    </row>
    <row r="24" spans="1:2" ht="30" customHeight="1" x14ac:dyDescent="0.3">
      <c r="A24" s="2" t="s">
        <v>191</v>
      </c>
      <c r="B24" s="2" t="s">
        <v>192</v>
      </c>
    </row>
    <row r="25" spans="1:2" ht="30" customHeight="1" x14ac:dyDescent="0.3">
      <c r="A25" s="2" t="s">
        <v>193</v>
      </c>
      <c r="B25" s="2" t="s">
        <v>194</v>
      </c>
    </row>
    <row r="26" spans="1:2" ht="30" customHeight="1" x14ac:dyDescent="0.3">
      <c r="A26" s="2" t="s">
        <v>195</v>
      </c>
      <c r="B26" s="2" t="s">
        <v>196</v>
      </c>
    </row>
    <row r="27" spans="1:2" ht="30" customHeight="1" x14ac:dyDescent="0.3">
      <c r="A27" s="2" t="s">
        <v>197</v>
      </c>
      <c r="B27" s="2" t="s">
        <v>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cols>
    <col min="1" max="1" width="28" customWidth="1"/>
    <col min="2" max="2" width="115" customWidth="1"/>
  </cols>
  <sheetData>
    <row r="1" spans="1:2" ht="30" customHeight="1" x14ac:dyDescent="0.3">
      <c r="A1" s="7" t="s">
        <v>199</v>
      </c>
      <c r="B1" s="8"/>
    </row>
    <row r="2" spans="1:2" ht="30" customHeight="1" x14ac:dyDescent="0.3">
      <c r="A2" s="6" t="s">
        <v>200</v>
      </c>
      <c r="B2" s="2" t="s">
        <v>201</v>
      </c>
    </row>
    <row r="3" spans="1:2" ht="30" customHeight="1" x14ac:dyDescent="0.3">
      <c r="A3" s="6" t="s">
        <v>202</v>
      </c>
      <c r="B3" s="2" t="s">
        <v>203</v>
      </c>
    </row>
    <row r="4" spans="1:2" ht="30" customHeight="1" x14ac:dyDescent="0.3">
      <c r="A4" s="6" t="s">
        <v>204</v>
      </c>
      <c r="B4" s="2" t="s">
        <v>205</v>
      </c>
    </row>
    <row r="5" spans="1:2" ht="30" customHeight="1" x14ac:dyDescent="0.3">
      <c r="A5" s="6" t="s">
        <v>206</v>
      </c>
      <c r="B5" s="2" t="s">
        <v>207</v>
      </c>
    </row>
    <row r="6" spans="1:2" ht="30" customHeight="1" x14ac:dyDescent="0.3">
      <c r="A6" s="6" t="s">
        <v>208</v>
      </c>
      <c r="B6" s="2" t="s">
        <v>209</v>
      </c>
    </row>
  </sheetData>
  <mergeCells count="1"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6FA29F310CEA4A92E7055778740EF9" ma:contentTypeVersion="3" ma:contentTypeDescription="Crear nuevo documento." ma:contentTypeScope="" ma:versionID="6434e39657608d9e2815aff4bbdc6824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96165a36436cef3f51f92079d6e8c94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505EAA-8197-4653-8CAA-699A8002A236}"/>
</file>

<file path=customXml/itemProps2.xml><?xml version="1.0" encoding="utf-8"?>
<ds:datastoreItem xmlns:ds="http://schemas.openxmlformats.org/officeDocument/2006/customXml" ds:itemID="{738F60DE-FE70-4B73-A551-AF03A7E1DD43}"/>
</file>

<file path=customXml/itemProps3.xml><?xml version="1.0" encoding="utf-8"?>
<ds:datastoreItem xmlns:ds="http://schemas.openxmlformats.org/officeDocument/2006/customXml" ds:itemID="{3D5B7A62-D99F-41F6-B2E2-82A0BF643E61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AI Overlay</vt:lpstr>
      <vt:lpstr>Guias scoring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2026-07-28T13:40:09Z</dcterms:created>
  <dcterms:modified xsi:type="dcterms:W3CDTF">2026-07-28T13:42:54Z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</Properties>
</file>