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esources.deloitte.com/sites/FinanceStrategy-2.F3M-FinanceAssessmentAccelerator/Shared Documents/4. Finanzas de Negocio (BU)/"/>
    </mc:Choice>
  </mc:AlternateContent>
  <xr:revisionPtr revIDLastSave="3" documentId="8_{29293CB3-8BF0-41A6-AFCE-72EE0224D2DD}" xr6:coauthVersionLast="47" xr6:coauthVersionMax="47" xr10:uidLastSave="{2502BEA0-F8C0-4EBD-ACCD-3F98C9A6F3AB}"/>
  <bookViews>
    <workbookView xWindow="-120" yWindow="-16320" windowWidth="29040" windowHeight="15720" xr2:uid="{00000000-000D-0000-FFFF-FFFF00000000}"/>
  </bookViews>
  <sheets>
    <sheet name="Assessment" sheetId="1" r:id="rId1"/>
    <sheet name="Resumen" sheetId="2" r:id="rId2"/>
    <sheet name="Heatmap" sheetId="3" r:id="rId3"/>
    <sheet name="Roadmap" sheetId="4" r:id="rId4"/>
    <sheet name="AI Overlay" sheetId="5" r:id="rId5"/>
    <sheet name="Guias scoring" sheetId="6" r:id="rId6"/>
    <sheet name="Instrucciones (2)" sheetId="8" r:id="rId7"/>
  </sheets>
  <definedNames>
    <definedName name="_xlnm._FilterDatabase" localSheetId="4" hidden="1">'AI Overlay'!$A$1:$E$17</definedName>
    <definedName name="_xlnm._FilterDatabase" localSheetId="0" hidden="1">Assessment!$A$1:$T$17</definedName>
    <definedName name="_xlnm._FilterDatabase" localSheetId="2" hidden="1">Heatmap!$A$1:$H$17</definedName>
    <definedName name="_xlnm._FilterDatabase" localSheetId="3" hidden="1">Roadmap!$A$1:$J$17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D5" i="2"/>
  <c r="C5" i="2"/>
  <c r="B5" i="2"/>
  <c r="E5" i="2" s="1"/>
  <c r="F5" i="2" s="1"/>
  <c r="G5" i="2" s="1"/>
  <c r="D4" i="2"/>
  <c r="C4" i="2"/>
  <c r="B4" i="2"/>
  <c r="E4" i="2" s="1"/>
  <c r="F4" i="2" s="1"/>
  <c r="G4" i="2" s="1"/>
  <c r="D3" i="2"/>
  <c r="C3" i="2"/>
  <c r="B3" i="2"/>
  <c r="E3" i="2" s="1"/>
  <c r="F3" i="2" s="1"/>
  <c r="G3" i="2" s="1"/>
  <c r="D2" i="2"/>
  <c r="D6" i="2" s="1"/>
  <c r="C2" i="2"/>
  <c r="C6" i="2" s="1"/>
  <c r="B2" i="2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2" i="3" l="1"/>
  <c r="O2" i="1"/>
  <c r="N2" i="1"/>
  <c r="F3" i="3"/>
  <c r="O3" i="1"/>
  <c r="N3" i="1"/>
  <c r="F4" i="3"/>
  <c r="O4" i="1"/>
  <c r="N4" i="1"/>
  <c r="F5" i="3"/>
  <c r="O5" i="1"/>
  <c r="N5" i="1"/>
  <c r="F6" i="3"/>
  <c r="O6" i="1"/>
  <c r="N6" i="1"/>
  <c r="F7" i="3"/>
  <c r="O7" i="1"/>
  <c r="N7" i="1"/>
  <c r="F8" i="3"/>
  <c r="O8" i="1"/>
  <c r="N8" i="1"/>
  <c r="F9" i="3"/>
  <c r="O9" i="1"/>
  <c r="N9" i="1"/>
  <c r="F10" i="3"/>
  <c r="O10" i="1"/>
  <c r="N10" i="1"/>
  <c r="F11" i="3"/>
  <c r="O11" i="1"/>
  <c r="N11" i="1"/>
  <c r="F12" i="3"/>
  <c r="O12" i="1"/>
  <c r="N12" i="1"/>
  <c r="F13" i="3"/>
  <c r="O13" i="1"/>
  <c r="N13" i="1"/>
  <c r="F14" i="3"/>
  <c r="O14" i="1"/>
  <c r="N14" i="1"/>
  <c r="F15" i="3"/>
  <c r="O15" i="1"/>
  <c r="N15" i="1"/>
  <c r="F16" i="3"/>
  <c r="O16" i="1"/>
  <c r="N16" i="1"/>
  <c r="F17" i="3"/>
  <c r="O17" i="1"/>
  <c r="N17" i="1"/>
  <c r="B6" i="2"/>
  <c r="E2" i="2"/>
  <c r="E6" i="2" l="1"/>
  <c r="F6" i="2" s="1"/>
  <c r="G6" i="2" s="1"/>
  <c r="F2" i="2"/>
  <c r="G2" i="2" s="1"/>
  <c r="C17" i="4"/>
  <c r="G17" i="4" s="1"/>
  <c r="G17" i="3"/>
  <c r="P17" i="1"/>
  <c r="C16" i="4"/>
  <c r="G16" i="4" s="1"/>
  <c r="G16" i="3"/>
  <c r="P16" i="1"/>
  <c r="C15" i="4"/>
  <c r="G15" i="4" s="1"/>
  <c r="G15" i="3"/>
  <c r="P15" i="1"/>
  <c r="C14" i="4"/>
  <c r="G14" i="4" s="1"/>
  <c r="G14" i="3"/>
  <c r="P14" i="1"/>
  <c r="C13" i="4"/>
  <c r="G13" i="4" s="1"/>
  <c r="G13" i="3"/>
  <c r="P13" i="1"/>
  <c r="C12" i="4"/>
  <c r="G12" i="4" s="1"/>
  <c r="G12" i="3"/>
  <c r="P12" i="1"/>
  <c r="C11" i="4"/>
  <c r="G11" i="4" s="1"/>
  <c r="G11" i="3"/>
  <c r="P11" i="1"/>
  <c r="C10" i="4"/>
  <c r="G10" i="4" s="1"/>
  <c r="G10" i="3"/>
  <c r="P10" i="1"/>
  <c r="C9" i="4"/>
  <c r="G9" i="4" s="1"/>
  <c r="G9" i="3"/>
  <c r="P9" i="1"/>
  <c r="C8" i="4"/>
  <c r="G8" i="4" s="1"/>
  <c r="G8" i="3"/>
  <c r="P8" i="1"/>
  <c r="C7" i="4"/>
  <c r="G7" i="4" s="1"/>
  <c r="G7" i="3"/>
  <c r="P7" i="1"/>
  <c r="C6" i="4"/>
  <c r="G6" i="4" s="1"/>
  <c r="G6" i="3"/>
  <c r="P6" i="1"/>
  <c r="C5" i="4"/>
  <c r="G5" i="4" s="1"/>
  <c r="G5" i="3"/>
  <c r="P5" i="1"/>
  <c r="C4" i="4"/>
  <c r="G4" i="4" s="1"/>
  <c r="G4" i="3"/>
  <c r="P4" i="1"/>
  <c r="C3" i="4"/>
  <c r="G3" i="4" s="1"/>
  <c r="G3" i="3"/>
  <c r="P3" i="1"/>
  <c r="C2" i="4"/>
  <c r="G2" i="4" s="1"/>
  <c r="G2" i="3"/>
  <c r="P2" i="1"/>
  <c r="D2" i="4" l="1"/>
  <c r="H2" i="3"/>
  <c r="D3" i="4"/>
  <c r="H3" i="3"/>
  <c r="D4" i="4"/>
  <c r="H4" i="3"/>
  <c r="D5" i="4"/>
  <c r="H5" i="3"/>
  <c r="D6" i="4"/>
  <c r="H6" i="3"/>
  <c r="D7" i="4"/>
  <c r="H7" i="3"/>
  <c r="D8" i="4"/>
  <c r="H8" i="3"/>
  <c r="D9" i="4"/>
  <c r="H9" i="3"/>
  <c r="D10" i="4"/>
  <c r="H10" i="3"/>
  <c r="D11" i="4"/>
  <c r="H11" i="3"/>
  <c r="D12" i="4"/>
  <c r="H12" i="3"/>
  <c r="D13" i="4"/>
  <c r="H13" i="3"/>
  <c r="D14" i="4"/>
  <c r="H14" i="3"/>
  <c r="D15" i="4"/>
  <c r="H15" i="3"/>
  <c r="D16" i="4"/>
  <c r="H16" i="3"/>
  <c r="D17" i="4"/>
  <c r="H17" i="3"/>
</calcChain>
</file>

<file path=xl/sharedStrings.xml><?xml version="1.0" encoding="utf-8"?>
<sst xmlns="http://schemas.openxmlformats.org/spreadsheetml/2006/main" count="497" uniqueCount="273">
  <si>
    <t>Capacidad</t>
  </si>
  <si>
    <t>Subcapacidad</t>
  </si>
  <si>
    <t>Objetivo de evaluación</t>
  </si>
  <si>
    <t>Nivel 1 - Inicial</t>
  </si>
  <si>
    <t>Nivel 2 - Estructurado</t>
  </si>
  <si>
    <t>Nivel 3 - Estandarizado</t>
  </si>
  <si>
    <t>Nivel 4 - Optimizado</t>
  </si>
  <si>
    <t>Nivel 5 - Avanzado/Referente</t>
  </si>
  <si>
    <t>Casos de uso AI asociados</t>
  </si>
  <si>
    <t>Score Procesos</t>
  </si>
  <si>
    <t>Score Tecnología</t>
  </si>
  <si>
    <t>Score Organización</t>
  </si>
  <si>
    <t>Score Medio</t>
  </si>
  <si>
    <t>Nivel resultante</t>
  </si>
  <si>
    <t>Gap vs objetivo</t>
  </si>
  <si>
    <t>Prioridad</t>
  </si>
  <si>
    <t>Preguntas clave</t>
  </si>
  <si>
    <t>Evidencias</t>
  </si>
  <si>
    <t>Iniciativa sugerida</t>
  </si>
  <si>
    <t>Comentarios / hallazgos</t>
  </si>
  <si>
    <t>Financiación I+D</t>
  </si>
  <si>
    <t>1.1 Gobierno y portfolio de iniciativas de I+D</t>
  </si>
  <si>
    <t>Evaluar si existe un marco formal para identificar, aprobar, priorizar y gobernar iniciativas de I+D desde una perspectiva financiera y de creación de valor.</t>
  </si>
  <si>
    <t>Iniciativas de I+D gestionadas de forma aislada, con baja visibilidad financiera, criterios de aprobación no homogéneos y dependencia elevada de sponsors individuales.</t>
  </si>
  <si>
    <t>Existe un inventario básico de iniciativas y criterios financieros parciales, aunque la priorización y el seguimiento son heterogéneos entre áreas o unidades.</t>
  </si>
  <si>
    <t>Portfolio de I+D definido, con ownership, criterios de aprobación, presupuestos, métricas económicas y proceso periódico de revisión.</t>
  </si>
  <si>
    <t>Gobierno integrado del portfolio de I+D con estrategia, presupuesto, riesgos, capacidad de ejecución, beneficios esperados y reasignación periódica de recursos.</t>
  </si>
  <si>
    <t>Cartera de innovación dinámica y basada en IA, con priorización por escenarios, señales de mercado, probabilidad de éxito y ROI esperado, y recomendación de asignación de capital.</t>
  </si>
  <si>
    <t>Diseño de producto orquestado por IA; Ensayos clínicos más inteligentes; Descubrimiento y desarrollo de fármacos autónomo de extremo a extremo</t>
  </si>
  <si>
    <t>¿Existe portfolio formal de iniciativas de I+D?
¿Se priorizan iniciativas con criterios financieros y estratégicos?
¿Hay owners y governance de aprobación?
¿Se revisa periódicamente la continuidad de las iniciativas?</t>
  </si>
  <si>
    <t>Portfolio de I+D; criterios de priorización; actas de comité; business cases; presupuesto por iniciativa; matriz de ownership.</t>
  </si>
  <si>
    <t>Diseñar modelo de gobierno de la cartera de I+D con criterios de valor, riesgo, alineamiento estratégico, financiación y seguimiento periódico.</t>
  </si>
  <si>
    <t>1.2 Planificación y control económico de proyectos de I+D</t>
  </si>
  <si>
    <t>Evaluar la capacidad para planificar, presupuestar, forecastar y controlar costes, inversiones y desviaciones de proyectos de I+D.</t>
  </si>
  <si>
    <t>Costes de I+D controlados de forma manual y retrospectiva, con baja conexión entre presupuesto, ejecución y avance de los proyectos.</t>
  </si>
  <si>
    <t>Presupuestos básicos por proyecto, con seguimiento periódico limitado y análisis manual de desviaciones relevantes.</t>
  </si>
  <si>
    <t>Planificación económica estructurada por proyecto, fase, hito y naturaleza de coste, con reporting recurrente y análisis de desviaciones.</t>
  </si>
  <si>
    <t>Control integrado de presupuesto, forecast, avance técnico, recursos, riesgos y beneficios esperados, con alertas y acciones correctivas.</t>
  </si>
  <si>
    <t>Planificación predictiva de costes y avance de I+D, con simulación de escenarios, detección temprana de desviaciones y recomendaciones sobre continuidad, aceleración o cancelación.</t>
  </si>
  <si>
    <t>¿Se presupuestan proyectos por fase e hito?
¿Se actualiza forecast económico de I+D?
¿Se analiza desviación por driver?
¿Se conectan costes con avance y beneficios esperados?</t>
  </si>
  <si>
    <t>Presupuesto de I+D; forecast por proyecto; informes de desviaciones; hitos técnicos; costes reales; actas de seguimiento.</t>
  </si>
  <si>
    <t>Implantar modelo de control económico de proyectos de I+D con presupuesto, previsión, hitos, desviaciones, riesgos y acciones correctivas.</t>
  </si>
  <si>
    <t>1.3 Financiación, subvenciones e incentivos de I+D</t>
  </si>
  <si>
    <t>Evaluar si la organización identifica, captura y gestiona fuentes de financiación, subvenciones e incentivos aplicables a actividades de I+D.</t>
  </si>
  <si>
    <t>Oportunidades de financiación o incentivos identificadas de forma reactiva, con documentación dispersa y baja trazabilidad.</t>
  </si>
  <si>
    <t>Se gestionan algunas ayudas o incentivos relevantes, aunque la identificación, justificación y seguimiento dependen de esfuerzos manuales.</t>
  </si>
  <si>
    <t>Proceso definido para identificar, evaluar, solicitar y justificar financiación e incentivos de I+D, con responsabilidades claras.</t>
  </si>
  <si>
    <t>Gestión integrada de funding con portfolio, presupuesto, contabilidad, fiscalidad, reporting y evidencias requeridas por organismos financiadores.</t>
  </si>
  <si>
    <t>Motor inteligente de identificación y optimización de incentivos, con cribado normativo, elegibilidad predictiva, generación asistida de documentación y alertas de cumplimiento.</t>
  </si>
  <si>
    <t>Cumplimiento regulatorio automatizado; Interpretación de normas y regulación financiera; Diseño de producto orquestado por IA</t>
  </si>
  <si>
    <t>¿Se monitorizan fuentes de financiación e incentivos?
¿Existe proceso de elegibilidad y solicitud?
¿Se documentan evidencias para justificación?
¿Se integran incentivos en forecast y reporting?</t>
  </si>
  <si>
    <t>Mapa de incentivos; expedientes de subvención; justificaciones; documentación técnica; registros contables; calendario de obligaciones.</t>
  </si>
  <si>
    <t>Crear proceso estructurado de financiación e incentivos de I+D con análisis de elegibilidad, evidencias, flujo de aprobación y seguimiento financiero.</t>
  </si>
  <si>
    <t>1.4 Medición de valor y retorno de la innovación</t>
  </si>
  <si>
    <t>Evaluar si la organización mide el retorno financiero, estratégico y operativo de las inversiones de I+D a lo largo del ciclo de vida.</t>
  </si>
  <si>
    <t>No existe medición sistemática del retorno de I+D; el seguimiento se centra en gasto ejecutado o hitos técnicos.</t>
  </si>
  <si>
    <t>Se miden beneficios de algunas iniciativas, pero con criterios variables y baja conexión con decisiones de portfolio.</t>
  </si>
  <si>
    <t>KPIs de valor definidos para I+D, con seguimiento periódico de avance, coste, beneficios, riesgos y grado de consecución.</t>
  </si>
  <si>
    <t>Modelo integrado de value tracking conectado con portfolio, business cases, beneficios reales, aprendizaje y reasignación de recursos.</t>
  </si>
  <si>
    <t>Medición avanzada de valor con modelos predictivos, análisis de contribución, escenarios de monetización y recomendaciones de inversión/desinversión en innovación.</t>
  </si>
  <si>
    <t>Descubrimiento y desarrollo de fármacos autónomo de extremo a extremo; Diseño de producto orquestado por IA; Recomendaciones a nivel de proyecto</t>
  </si>
  <si>
    <t>¿Se mide ROI de iniciativas de I+D?
¿Existen KPIs de valor financiero y estratégico?
¿Se comparan beneficios reales vs esperados?
¿Se usan aprendizajes para futuras decisiones?</t>
  </si>
  <si>
    <t>KPIs de innovación; benefit tracking; business cases; informes post-implementación; decisiones de portfolio; lecciones aprendidas.</t>
  </si>
  <si>
    <t>Definir modelo de medición de valor de I+D con KPIs, beneficios esperados y reales, responsables, revisión de la cartera y aprendizaje recurrente.</t>
  </si>
  <si>
    <t>Financiación de ventas comerciales</t>
  </si>
  <si>
    <t>2.1 Gobierno financiero de propuestas y condiciones comerciales</t>
  </si>
  <si>
    <t>Evaluar si existe un marco financiero para gobernar propuestas, ofertas, condiciones comerciales, descuentos y excepciones.</t>
  </si>
  <si>
    <t>Condiciones comerciales definidas caso a caso, con baja implicación financiera y controles limitados sobre descuentos, riesgos o márgenes.</t>
  </si>
  <si>
    <t>Políticas comerciales básicas y revisión financiera para operaciones relevantes, aunque con excepciones frecuentes y trazabilidad parcial.</t>
  </si>
  <si>
    <t>Modelo de gobierno comercial-financiero con políticas, umbrales, aprobaciones, criterios de margen y control de excepciones.</t>
  </si>
  <si>
    <t>Gobierno integrado con CRM, pricing, crédito, contratos, rentabilidad y forecast comercial, con workflow y reporting de cumplimiento.</t>
  </si>
  <si>
    <t>Asistente IA para propuestas comerciales que recomienda condiciones, identifica riesgos, estima rentabilidad y guía aprobaciones según margen, cliente y probabilidad de conversión.</t>
  </si>
  <si>
    <t>Asistente de RFP y de conocimiento impulsado por IA; Operaciones comerciales inteligentes; Asistente de IA para la compra y el leasing de vehículos</t>
  </si>
  <si>
    <t>¿Existen políticas financieras para ofertas y descuentos?
¿Se aprueban excepciones con workflow?
¿Se calcula margen esperado antes de ofertar?
¿Se conectan condiciones comerciales con contrato y forecast?</t>
  </si>
  <si>
    <t>Políticas comerciales; matriz de descuentos; aprobaciones; CRM; ofertas; contratos; análisis de margen por oportunidad.</t>
  </si>
  <si>
    <t>Diseñar gobierno financiero de propuestas comerciales con reglas de margen, descuentos, riesgos, aprobaciones y trazabilidad de principio a fin.</t>
  </si>
  <si>
    <t>2.2 Evaluación financiera de oportunidades, RFPs y ofertas</t>
  </si>
  <si>
    <t>Evaluar la capacidad para analizar oportunidades comerciales, RFPs y ofertas desde una perspectiva de valor, rentabilidad, riesgo y capacidad de entrega.</t>
  </si>
  <si>
    <t>Evaluación financiera limitada o tardía, con foco en ingresos esperados y baja consideración de costes, riesgos o capacidad.</t>
  </si>
  <si>
    <t>Análisis financiero básico en oportunidades relevantes, con plantillas parciales y dependencia de analistas o equipos comerciales.</t>
  </si>
  <si>
    <t>Modelo estándar de evaluación de oportunidades con ingresos, costes, margen, riesgos, condiciones, capacidad y probabilidad de éxito.</t>
  </si>
  <si>
    <t>Evaluación integrada con pipeline, pricing, capacidad operativa, riesgos contractuales, forecast y priorización comercial.</t>
  </si>
  <si>
    <t>Asistente de IA para RFP que resume los requisitos, estima la rentabilidad esperada, identifica riesgos, propone respuestas y prioriza oportunidades por valor ajustado a probabilidad y riesgo.</t>
  </si>
  <si>
    <t>Asistente de RFP y de conocimiento impulsado por IA; Operaciones comerciales inteligentes; Asistente hiperpersonalizado de ventas y marketing</t>
  </si>
  <si>
    <t>¿Se evalúan oportunidades con criterios homogéneos?
¿Se cuantifica coste de servir y margen esperado?
¿Se incorpora riesgo contractual/comercial?
¿Se prioriza el pipeline por valor ajustado?</t>
  </si>
  <si>
    <t>RFPs; plantillas de análisis; pipeline comercial; modelos de margen; actas de bid/no-bid; aprobaciones de ofertas.</t>
  </si>
  <si>
    <t>Implantar modelo de evaluación financiera de oportunidades y RFPs con análisis económico, riesgos, capacidad, probabilidad y priorización de la cartera comercial.</t>
  </si>
  <si>
    <t>2.3 Gestión de riesgos comerciales y exposición financiera</t>
  </si>
  <si>
    <t>Evaluar el control de riesgos financieros asociados a actividad comercial: crédito, concentración, condiciones, contratos, penalizaciones y exposición.</t>
  </si>
  <si>
    <t>Riesgos comerciales gestionados reactivamente, con baja conexión entre ventas, finanzas, crédito y contratos.</t>
  </si>
  <si>
    <t>Se revisan riesgos en operaciones relevantes, aunque con criterios no homogéneos y análisis manual de exposición.</t>
  </si>
  <si>
    <t>Modelo de riesgo comercial definido con criterios de crédito, exposición, términos, concentración, rentabilidad y aprobación.</t>
  </si>
  <si>
    <t>Riesgo comercial integrado con CRM, contratos, O2C, pricing, margen, cash y límites de exposición, con alertas y seguimiento.</t>
  </si>
  <si>
    <t>Puntuación predictiva del riesgo comercial y de la exposición, con recomendación de condiciones, garantías, límites, precio y acciones preventivas por cliente u oportunidad.</t>
  </si>
  <si>
    <t>Agentes de IA para el análisis de riesgo crediticio; Recomendación de condiciones de pago óptimas para mejorar el DSO; Operaciones comerciales inteligentes</t>
  </si>
  <si>
    <t>¿Se evalúa riesgo financiero de clientes y ofertas?
¿Existen límites y condiciones por perfil de riesgo?
¿Se monitoriza exposición comercial?
¿Se conectan riesgos con pricing y aprobación?</t>
  </si>
  <si>
    <t>Política de crédito; límites; exposición por cliente; contratos; términos comerciales; aging; aprobaciones de riesgo.</t>
  </si>
  <si>
    <t>Construir modelo de riesgo comercial financiero con puntuación de riesgo, límites, condiciones, exposición, alertas y flujo de aprobación.</t>
  </si>
  <si>
    <t>2.4 Seguimiento de performance comercial y rentabilidad de ventas</t>
  </si>
  <si>
    <t>Evaluar si la función financiera monitoriza la conversión, rentabilidad, margen, desviaciones y cumplimiento económico de la actividad comercial.</t>
  </si>
  <si>
    <t>Seguimiento centrado en ventas o ingresos, con baja visibilidad de margen, coste de servir o desviaciones frente a oferta.</t>
  </si>
  <si>
    <t>Reporting comercial-financiero básico, con análisis de margen parcial y seguimiento manual de ofertas relevantes.</t>
  </si>
  <si>
    <t>Performance comercial monitorizada con KPIs de pipeline, conversión, margen, desviación oferta-real y rentabilidad por cliente/canal/producto.</t>
  </si>
  <si>
    <t>Reporting integrado de ventas, margen, cash, descuentos, forecast y acciones, con owners y revisión periódica de performance.</t>
  </si>
  <si>
    <t>IA genera conclusiones de rendimiento comercial, identifica oportunidades de mejora, riesgos de margen, fuga de ingresos y acciones personalizadas por cliente, canal o producto.</t>
  </si>
  <si>
    <t>Operaciones comerciales inteligentes; Asistente hiperpersonalizado de ventas y marketing; Identificación y corrección proactiva de fugas de ingresos</t>
  </si>
  <si>
    <t>¿Se mide margen real vs ofertado?
¿Se analiza performance por cliente/canal/producto?
¿Se identifican fugas de margen?
¿Se generan acciones comerciales-financieras?</t>
  </si>
  <si>
    <t>Dashboard comercial-financiero; pipeline; márgenes; descuentos; revenue leakage; actas de performance; acciones comerciales.</t>
  </si>
  <si>
    <t>Rediseñar los informes comercial-financieros con KPIs de margen, conversión, fugas, previsión, responsables y acciones de mejora.</t>
  </si>
  <si>
    <t>Financiación de la fabricación y la cadena de suministro</t>
  </si>
  <si>
    <t>3.1 Planificación financiera de operaciones y supply chain</t>
  </si>
  <si>
    <t>Evaluar si la planificación financiera de fabricación, logística, inventarios y cadena de suministro está integrada con demanda, capacidad y presupuesto.</t>
  </si>
  <si>
    <t>Planificación financiera operativa manual, desconectada de demanda, capacidad, inventario o restricciones de supply chain.</t>
  </si>
  <si>
    <t>Forecast operativo-financiero básico, con inputs parciales de demanda, producción o logística y alta dependencia de Excel.</t>
  </si>
  <si>
    <t>Planificación estructurada con drivers de demanda, producción, logística, inventario, costes y responsables definidos.</t>
  </si>
  <si>
    <t>Planificación integrada con S&amp;OP/IBP, presupuesto, forecast, capacidad, cash, riesgos y escenarios operativos.</t>
  </si>
  <si>
    <t>Planificación integrada de negocio basada en IA, con simulación de demanda, capacidad, costes, inventario y restricciones, y recomendación de decisiones operativas y financieras.</t>
  </si>
  <si>
    <t>Operaciones autónomas de cadena de suministro; Planificación integrada de negocio; Gestión dinámica de inventario</t>
  </si>
  <si>
    <t>¿Se conecta la planificación financiera con demanda y capacidad?
¿Existe integración S&amp;OP/IBP?
¿Se modelizan escenarios de supply chain?
¿Se conecta con presupuesto y forecast?</t>
  </si>
  <si>
    <t>Plan operativo-financiero; S&amp;OP/IBP; forecast de demanda; capacidad; costes logísticos; inventarios; escenarios.</t>
  </si>
  <si>
    <t>Implantar planificación financiera integrada de operaciones y cadena de suministro con drivers, escenarios, capacidad, inventario y previsión.</t>
  </si>
  <si>
    <t>3.2 Control de costes de fabricación, logística y servicio</t>
  </si>
  <si>
    <t>Evaluar la capacidad para medir, controlar y explicar costes de producción, logística, mantenimiento, calidad y servicio.</t>
  </si>
  <si>
    <t>Costes operativos controlados de forma agregada y retrospectiva, con baja trazabilidad por driver, centro, línea o producto.</t>
  </si>
  <si>
    <t>Reporting básico de costes con análisis manual de desviaciones y criterios variables por planta, operación o unidad.</t>
  </si>
  <si>
    <t>Modelo de coste definido por driver, centro, línea, producto y actividad, con análisis recurrente de desviaciones.</t>
  </si>
  <si>
    <t>Control integrado de costes con productividad, calidad, mantenimiento, logística, inventarios, acciones correctivas y forecast.</t>
  </si>
  <si>
    <t>IA identifica patrones de coste, anomalías operativas, mantenimiento predictivo y oportunidades de eficiencia con recomendaciones cuantificadas.</t>
  </si>
  <si>
    <t>Mantenimiento predictivo basado en IA; Gestión autónoma de operaciones de campo; Recomendación de planificación de demanda, coste de producto y fijación de precios</t>
  </si>
  <si>
    <t>¿Se conocen drivers de coste operativo?
¿Se analiza desviación por planta/línea/producto?
¿Se conectan costes con calidad y productividad?
¿Se generan acciones de eficiencia?</t>
  </si>
  <si>
    <t>Modelo de costes; costes estándar/reales; desviaciones; KPIs de productividad; mantenimiento; calidad; logística; planes de eficiencia.</t>
  </si>
  <si>
    <t>Crear modelo de control de costes operativos con drivers, desviaciones, productividad, calidad, mantenimiento y acciones de mejora.</t>
  </si>
  <si>
    <t>3.3 Gestión financiera de inventarios y capital circulante operativo</t>
  </si>
  <si>
    <t>Evaluar si Finanzas monitoriza y optimiza inventarios, obsolescencia, rotación, working capital y necesidades de liquidez operativa.</t>
  </si>
  <si>
    <t>Inventarios y working capital operativos gestionados con visibilidad limitada, análisis retrospectivo y baja conexión con decisiones de producción o compra.</t>
  </si>
  <si>
    <t>Seguimiento básico de inventario, rotación y obsolescencia, con acciones puntuales y análisis manual.</t>
  </si>
  <si>
    <t>KPIs de inventario y capital circulante definidos, con owners, reporting periódico y análisis por driver, material, producto o ubicación.</t>
  </si>
  <si>
    <t>Gestión integrada de inventario, demanda, producción, compras, servicio, cash y riesgo de obsolescencia, con acciones y seguimiento.</t>
  </si>
  <si>
    <t>Optimización predictiva de inventario y capital circulante con IA, anticipando demanda, obsolescencia, rupturas, exceso de stock y necesidades de caja.</t>
  </si>
  <si>
    <t>Gestión dinámica de inventario; Operaciones autónomas de cadena de suministro; Herramienta predictiva de previsión de flujo de caja</t>
  </si>
  <si>
    <t>¿Se mide rotación, obsolescencia y cobertura?
¿Inventario se conecta con cash y forecast?
¿Se anticipan rupturas/excesos?
¿Hay acciones sobre working capital?</t>
  </si>
  <si>
    <t>KPIs de inventario; DIO; obsolescencia; stock-outs; slow movers; forecast de inventario; reporting de working capital.</t>
  </si>
  <si>
    <t>Implantar modelo financiero de inventarios y capital circulante con KPIs, escenarios, alertas de obsolescencia y acciones de optimización.</t>
  </si>
  <si>
    <t>3.4 Resiliencia, riesgo y eficiencia de la cadena de suministro</t>
  </si>
  <si>
    <t>Evaluar si se cuantifican riesgos, disrupciones, dependencias, resiliencia y eficiencia financiera de la cadena de suministro.</t>
  </si>
  <si>
    <t>Riesgos de supply chain evaluados de forma cualitativa o reactiva, sin cuantificación financiera sistemática.</t>
  </si>
  <si>
    <t>Análisis puntuales de riesgos relevantes, con estimaciones manuales de impacto y planes de mitigación limitados.</t>
  </si>
  <si>
    <t>Modelo de riesgos operativos-financieros definido, con escenarios de impacto, criticidad, proveedores/materiales clave y responsables.</t>
  </si>
  <si>
    <t>Gestión integrada de resiliencia con coste, servicio, inventario, proveedores, logística, continuidad y planes de contingencia cuantificados.</t>
  </si>
  <si>
    <t>IA monitoriza señales internas/externas de riesgo, simula impactos financieros y recomienda acciones de mitigación, aprovisionamiento, inventario o red logística.</t>
  </si>
  <si>
    <t>Logística y planificación resilientes; Operaciones autónomas de cadena de suministro; Inspección autónoma de infraestructuras con drones</t>
  </si>
  <si>
    <t>¿Se cuantifican riesgos de supply chain?
¿Existen escenarios de disrupción?
¿Se valoran trade-offs coste/servicio/riesgo?
¿Hay planes de contingencia financieros?</t>
  </si>
  <si>
    <t>Mapa de riesgos; escenarios; proveedores críticos; planes de contingencia; KPIs de servicio; costes logísticos; análisis de impacto.</t>
  </si>
  <si>
    <t>Desarrollar modelo financiero de resiliencia de la cadena de suministro con riesgos, escenarios, impacto económico, planes de mitigación y seguimiento.</t>
  </si>
  <si>
    <t>Precios y rentabilidad</t>
  </si>
  <si>
    <t>4.1 Estrategia y gobierno de pricing</t>
  </si>
  <si>
    <t>Evaluar si existe una estrategia de precios gobernada, alineada con objetivos de margen, posicionamiento, valor cliente y dinámica competitiva.</t>
  </si>
  <si>
    <t>Precios definidos de forma local o reactiva, con baja conexión con margen, estrategia, valor percibido o competencia.</t>
  </si>
  <si>
    <t>Políticas de pricing básicas, con criterios parciales por producto, cliente o canal y revisión manual de excepciones.</t>
  </si>
  <si>
    <t>Modelo de gobierno de pricing definido, con roles, criterios, niveles de aprobación, catálogo de precios y control de descuentos.</t>
  </si>
  <si>
    <t>Pricing integrado con estrategia comercial, costes, competencia, elasticidad, margen, promociones y performance, con rutinas de revisión.</t>
  </si>
  <si>
    <t>Fijación dinámica de precios basada en IA, que recomienda precio y condiciones según demanda, elasticidad, inventario, cliente, competencia, costes y objetivos de margen.</t>
  </si>
  <si>
    <t>Precios dinámicos y optimización de inventario; Examen de tendencias de mercado, comportamiento de proveedores y otros factores para determinar precios óptimos; Recomendación de planificación de demanda, coste de producto y fijación de precios</t>
  </si>
  <si>
    <t>¿Existe estrategia de pricing documentada?
¿Hay governance de descuentos y excepciones?
¿Se conecta precio con margen y posicionamiento?
¿Se revisan precios de forma recurrente?</t>
  </si>
  <si>
    <t>Política de pricing; catálogo de precios; matriz de descuentos; aprobaciones; análisis competitivo; reporting de margen.</t>
  </si>
  <si>
    <t>Definir modelo de gobierno de precios con estrategia, roles, reglas, descuentos, excepciones, KPIs y ciclo de revisión.</t>
  </si>
  <si>
    <t>4.2 Modelos de rentabilidad por cliente, producto y canal</t>
  </si>
  <si>
    <t>Evaluar si la organización mide y gestiona rentabilidad de forma granular por cliente, producto, canal, segmento y servicio.</t>
  </si>
  <si>
    <t>Rentabilidad analizada de forma agregada, con baja asignación de costes y limitada visibilidad por cliente, producto o canal.</t>
  </si>
  <si>
    <t>Análisis de margen recurrente para algunos segmentos, con asignaciones parciales y criterios no homogéneos.</t>
  </si>
  <si>
    <t>Modelo de rentabilidad definido con ingresos, descuentos, coste de producto, coste de servir, asignaciones y dimensiones comunes.</t>
  </si>
  <si>
    <t>Rentabilidad integrada con pricing, mix, descuentos, promociones, servicio, canal, forecast y acciones comerciales.</t>
  </si>
  <si>
    <t>Modelos IA identifican patrones de rentabilidad, fuga de ingresos, venta cruzada y ampliación y recomendaciones de mix, cliente, canal y nivel de servicio.</t>
  </si>
  <si>
    <t>Identificación y corrección proactiva de fugas de ingresos; Agentes de IA para el éxito del cliente; Asistente hiperpersonalizado de ventas y marketing</t>
  </si>
  <si>
    <t>¿Se mide rentabilidad por cliente/producto/canal?
¿Se incluye coste de servir?
¿Se identifican bolsas de margen negativo?
¿Se generan acciones comerciales o de servicio?</t>
  </si>
  <si>
    <t>Modelo de rentabilidad; P&amp;L por dimensión; coste de servir; márgenes; descuentos; análisis de leakage; acciones comerciales.</t>
  </si>
  <si>
    <t>Construir modelo granular de rentabilidad con coste de servir, margen neto, fugas, segmentación y acciones por cliente, producto y canal.</t>
  </si>
  <si>
    <t>4.3 Optimización de promociones, descuentos y condiciones</t>
  </si>
  <si>
    <t>Evaluar si promociones, descuentos y condiciones comerciales se diseñan y evalúan con criterios de ROI, margen, volumen y valor cliente.</t>
  </si>
  <si>
    <t>Promociones y descuentos gestionados con criterios comerciales de corto plazo, con medición limitada de ROI o impacto en margen.</t>
  </si>
  <si>
    <t>Se analizan promociones relevantes, pero con reporting manual, atribución parcial y baja sistematización de aprendizajes.</t>
  </si>
  <si>
    <t>Metodología de evaluación de promociones y descuentos con baseline, uplift, margen, coste, ROI y owners definidos.</t>
  </si>
  <si>
    <t>Optimización integrada de promociones con demanda, pricing, inventario, margen, canal y aprendizaje post-campaña.</t>
  </si>
  <si>
    <t>IA recomienda promociones, descuentos y condiciones óptimas, simulando elasticidad, canibalización, inventario, margen incremental y probabilidad de conversión.</t>
  </si>
  <si>
    <t>Planificación de promociones; Precios dinámicos y optimización de inventario; Recomendación de planificación de demanda, coste de producto y fijación de precios</t>
  </si>
  <si>
    <t>¿Se calcula ROI de promociones?
¿Se mide uplift incremental?
¿Se controla impacto en margen?
¿Se usan aprendizajes para nuevas campañas?</t>
  </si>
  <si>
    <t>Calendario promocional; análisis ROI; baseline/uplift; descuentos; margen incremental; post-mortems; decisiones de pricing.</t>
  </si>
  <si>
    <t>Implantar modelo de optimización promocional con ROI, incremento de ventas, margen, elasticidad, canibalización y recomendaciones de descuento.</t>
  </si>
  <si>
    <t>4.4 Seguimiento de margen, leakage y creación de valor</t>
  </si>
  <si>
    <t>Evaluar si se monitorizan desviaciones de margen, revenue leakage, cumplimiento de precio y palancas de creación de valor.</t>
  </si>
  <si>
    <t>Seguimiento de margen tardío y agregado, con baja capacidad para identificar causas, fugas o acciones correctivas.</t>
  </si>
  <si>
    <t>Análisis periódico de margen y descuentos, con identificación manual de desviaciones relevantes.</t>
  </si>
  <si>
    <t>Modelo de performance de margen con drivers, owners, desviaciones, leakage, acciones y seguimiento por dimensión.</t>
  </si>
  <si>
    <t>Margin management integrado con pricing, ventas, costes, mix, contratos, forecast y rutinas de gestión orientadas a acción.</t>
  </si>
  <si>
    <t>IA detecta fuga de ingresos y desviaciones tempranas, explica drivers de margen, recomienda acciones de precio/mix/coste y cuantifica impacto esperado en valor.</t>
  </si>
  <si>
    <t>Identificación y corrección proactiva de fugas de ingresos; FinanceAI Insights Platform; Generación de análisis de desviaciones de cuentas con explicaciones inteligentes</t>
  </si>
  <si>
    <t>¿Se monitoriza margen por driver?
¿Se detecta revenue leakage?
¿Hay owners de acciones de margen?
¿Se cuantifica impacto de acciones?</t>
  </si>
  <si>
    <t>Dashboard de margen; análisis de leakage; variaciones de precio/mix/coste; contratos; acciones; seguimiento de beneficios.</t>
  </si>
  <si>
    <t>Crear modelo de gestión del rendimiento del margen con drivers, fugas, responsables, acciones, previsión e impacto económico cuantificado.</t>
  </si>
  <si>
    <t>Score global dominio</t>
  </si>
  <si>
    <t>Procesos</t>
  </si>
  <si>
    <t>Tecnología</t>
  </si>
  <si>
    <t>Organización</t>
  </si>
  <si>
    <t>Score medio</t>
  </si>
  <si>
    <t>Gap</t>
  </si>
  <si>
    <t>Casos AI asociados</t>
  </si>
  <si>
    <t>Oleada</t>
  </si>
  <si>
    <t>Owner</t>
  </si>
  <si>
    <t>Estado</t>
  </si>
  <si>
    <t>Comentarios</t>
  </si>
  <si>
    <t>No iniciado</t>
  </si>
  <si>
    <t>Aplicación en nivel avanzado</t>
  </si>
  <si>
    <t>Fuente</t>
  </si>
  <si>
    <t>F3M_AI_Mapping_Consolidado_v1.xlsx</t>
  </si>
  <si>
    <t>GUÍAS DE SCORING F3M</t>
  </si>
  <si>
    <t>PROCESOS</t>
  </si>
  <si>
    <t>Proceso inexistente, manual o ad hoc.</t>
  </si>
  <si>
    <t>Proceso parcial, definido con variabilidad y dependencias manuales.</t>
  </si>
  <si>
    <t>Proceso documentado, homogéneo y repetible.</t>
  </si>
  <si>
    <t>Proceso medido, eficiente, con controles y mejora continua.</t>
  </si>
  <si>
    <t>Nivel 5 - Avanzado</t>
  </si>
  <si>
    <t>Proceso integrado end-to-end, orientado a decisión y habilitado por automatización/AI cuando aplique.</t>
  </si>
  <si>
    <t>TECNOLOGÍA</t>
  </si>
  <si>
    <t>Excel/manual, sin integración.</t>
  </si>
  <si>
    <t>Herramientas parciales o locales, con baja integración.</t>
  </si>
  <si>
    <t>Herramienta corporativa y reglas definidas.</t>
  </si>
  <si>
    <t>Integración end-to-end, automatización y controles tecnológicos.</t>
  </si>
  <si>
    <t>Analítica avanzada, AI/GenAI, detección predictiva, autoservicio o workflow inteligente.</t>
  </si>
  <si>
    <t>ORGANIZACIÓN</t>
  </si>
  <si>
    <t>Roles poco claros y alta dependencia de personas.</t>
  </si>
  <si>
    <t>Roles parcialmente definidos y coordinación manual.</t>
  </si>
  <si>
    <t>Roles, ownership y accountability claros.</t>
  </si>
  <si>
    <t>Organización alineada con procesos, KPIs y mejora continua.</t>
  </si>
  <si>
    <t>Equipos orientados a business partnering, eficiencia, colaboración y generación de valor.</t>
  </si>
  <si>
    <t>REGLAS DE ORO</t>
  </si>
  <si>
    <t>1</t>
  </si>
  <si>
    <t>Puntuar el estado actual, no el objetivo.</t>
  </si>
  <si>
    <t>2</t>
  </si>
  <si>
    <t>No mezclar palancas: procesos, tecnología y organización se puntúan por separado.</t>
  </si>
  <si>
    <t>3</t>
  </si>
  <si>
    <t>Sustentar cada score con evidencias.</t>
  </si>
  <si>
    <t>4</t>
  </si>
  <si>
    <t>No sobrevalorar la tecnología si el proceso o la adopción no están maduros.</t>
  </si>
  <si>
    <t>F3M - FP&amp;A | Assessment-ready</t>
  </si>
  <si>
    <t>Uso del fichero</t>
  </si>
  <si>
    <t>1. En 'Assessment', puntuar cada subcapacidad en las tres palancas: Procesos, Tecnología y Organización.</t>
  </si>
  <si>
    <t>2. Utilizar valores enteros de 1 a 5, donde 1 = Inicial y 5 = Avanzado/Referente.</t>
  </si>
  <si>
    <t>3. El Score Medio, Nivel resultante, Gap y Prioridad se calculan automáticamente.</t>
  </si>
  <si>
    <t>4. Objetivo de madurez utilizado para el gap: Nivel 4 - Optimizado.</t>
  </si>
  <si>
    <t>5. 'Resumen' consolida resultados por capacidad y gráfico ejecutivo.</t>
  </si>
  <si>
    <t>6. 'Heatmap' facilita la lectura visual por subcapacidad y palanca.</t>
  </si>
  <si>
    <t>7. 'Roadmap' convierte gaps en iniciativas sugeridas y oleadas.</t>
  </si>
  <si>
    <t>Escala F3M</t>
  </si>
  <si>
    <t>1 - Inicial: modelo básico, operativo, heterogéneo y poco formalizado.</t>
  </si>
  <si>
    <t>2 - Estructurado: prácticas definidas, con consistencia parcial y dependencias manuales.</t>
  </si>
  <si>
    <t>3 - Estandarizado: modelo homogéneo, documentado, consistente y controlado.</t>
  </si>
  <si>
    <t>4 - Optimizado: modelo integrado, con mejora continua, métricas y foco en eficiencia/control.</t>
  </si>
  <si>
    <t>5 - Avanzado/Referente: modelo maduro, estratégico, anticipativo y orientado a generación de valor.</t>
  </si>
  <si>
    <t xml:space="preserve">Diseño de producto orquestado por IA; Ensayos clínicos más inteligentes; Descubrimiento autónomo de fármacos</t>
  </si>
  <si>
    <t xml:space="preserve">Cumplimiento regulatorio automatizado; Interpretación de normativa financiera; Diseño de producto orquestado por IA; Determinación de elegibilidad para incentivos</t>
  </si>
  <si>
    <t xml:space="preserve">Descubrimiento autónomo de fármacos; Diseño de producto orquestado por IA; Recomendaciones de acción a nivel de proyecto</t>
  </si>
  <si>
    <t xml:space="preserve">Asistente de RFP y de conocimiento comercial; Operaciones comerciales inteligentes</t>
  </si>
  <si>
    <t xml:space="preserve">Asistente de RFP y de conocimiento comercial; Operaciones comerciales inteligentes; Personalización de ventas y marketing</t>
  </si>
  <si>
    <t xml:space="preserve">Agentes de IA para análisis de riesgo crediticio; Condiciones de pago óptimas para el DSO; Operaciones comerciales inteligentes</t>
  </si>
  <si>
    <t xml:space="preserve">Operaciones comerciales inteligentes; Personalización de ventas y marketing; Detección de fugas de ingresos</t>
  </si>
  <si>
    <t xml:space="preserve">Mantenimiento predictivo de activos; Recomendación de demanda, coste y precio</t>
  </si>
  <si>
    <t xml:space="preserve">Gestión dinámica de inventario; Operaciones autónomas de cadena de suministro; Previsión predictiva de flujo de caja</t>
  </si>
  <si>
    <t xml:space="preserve">Planificación logística resiliente; Operaciones autónomas de cadena de suministro</t>
  </si>
  <si>
    <t xml:space="preserve">Precio dinámico y optimización de inventario; Precio óptimo a partir de señales de mercado; Recomendación de demanda, coste y precio</t>
  </si>
  <si>
    <t xml:space="preserve">Detección de fugas de ingresos; Agentes de IA para el éxito del cliente; Personalización de ventas y marketing</t>
  </si>
  <si>
    <t xml:space="preserve">Planificación de promociones; Precio dinámico y optimización de inventario; Recomendación de demanda, coste y precio</t>
  </si>
  <si>
    <t xml:space="preserve">Detección de fugas de ingresos; Analista digital de Finanzas bajo demanda; Análisis de desviaciones con explicación automática</t>
  </si>
  <si>
    <t xml:space="preserve">Mantenimiento predictivo de activos; Gestión autónoma de operaciones de campo; Recomendación de demanda, coste y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</si>
</sst>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74923"/>
      </patternFill>
    </fill>
    <fill>
      <patternFill patternType="solid">
        <fgColor rgb="FFD9EAD3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Score medio por capacidad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Resumen!$E$1</c:f>
              <c:strCache>
                <c:ptCount val="1"/>
                <c:pt idx="0">
                  <c:v>Score Medio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Resumen!$A$2:$A$5</c:f>
              <c:strCache>
                <c:ptCount val="4"/>
                <c:pt idx="0">
                  <c:v>Financiación I+D</c:v>
                </c:pt>
                <c:pt idx="1">
                  <c:v>Financiación de ventas comerciales</c:v>
                </c:pt>
                <c:pt idx="2">
                  <c:v>Financiación de la fabricación y la cadena de suministro</c:v>
                </c:pt>
                <c:pt idx="3">
                  <c:v>Precios y rentabilidad</c:v>
                </c:pt>
              </c:strCache>
            </c:strRef>
          </c:cat>
          <c:val>
            <c:numRef>
              <c:f>Resumen!$E$2:$E$5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D-4870-B01C-282A8BC5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Capacidad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pane ySplit="1" topLeftCell="A2" activePane="bottomLeft" state="frozen"/>
      <selection pane="bottomLeft" activeCell="W2" sqref="W2"/>
    </sheetView>
  </sheetViews>
  <sheetFormatPr defaultRowHeight="14.4" x14ac:dyDescent="0.3"/>
  <cols>
    <col min="1" max="1" width="30" customWidth="1"/>
    <col min="2" max="2" width="45" customWidth="1"/>
    <col min="3" max="9" width="55" customWidth="1"/>
    <col min="10" max="11" width="14" customWidth="1"/>
    <col min="12" max="12" width="16" customWidth="1"/>
    <col min="13" max="13" width="13" customWidth="1"/>
    <col min="14" max="14" width="22" customWidth="1"/>
    <col min="15" max="16" width="14" customWidth="1"/>
    <col min="17" max="18" width="45" customWidth="1"/>
    <col min="19" max="19" width="55" customWidth="1"/>
    <col min="20" max="20" width="35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0.099999999999994" customHeight="1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258</v>
      </c>
      <c r="J2" s="2"/>
      <c r="K2" s="2"/>
      <c r="L2" s="2"/>
      <c r="M2" s="2" t="str">
        <f t="shared" ref="M2:M17" si="0">IF(COUNT(J2:L2)=0,"",ROUND(AVERAGE(J2:L2),0))</f>
        <v/>
      </c>
      <c r="N2" s="2" t="str">
        <f t="shared" ref="N2:N17" si="1">IF(M2="","",CHOOSE(M2,"1 - Inicial","2 - Estructurado","3 - Estandarizado","4 - Optimizado","5 - Avanzado/Referente"))</f>
        <v/>
      </c>
      <c r="O2" s="2" t="str">
        <f t="shared" ref="O2:O17" si="2">IF(M2="","",MAX(0,4-M2))</f>
        <v/>
      </c>
      <c r="P2" s="2" t="str">
        <f t="shared" ref="P2:P17" si="3">IF(O2="","",IF(O2&gt;=3,"Alta",IF(O2=2,"Media",IF(O2=1,"Media","Baja"))))</f>
        <v/>
      </c>
      <c r="Q2" s="2" t="s">
        <v>29</v>
      </c>
      <c r="R2" s="2" t="s">
        <v>30</v>
      </c>
      <c r="S2" s="2" t="s">
        <v>31</v>
      </c>
      <c r="T2" s="2"/>
    </row>
    <row r="3" spans="1:20" ht="80.099999999999994" customHeight="1" x14ac:dyDescent="0.3">
      <c r="A3" s="2" t="s">
        <v>20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258</v>
      </c>
      <c r="J3" s="2"/>
      <c r="K3" s="2"/>
      <c r="L3" s="2"/>
      <c r="M3" s="2" t="str">
        <f t="shared" si="0"/>
        <v/>
      </c>
      <c r="N3" s="2" t="str">
        <f t="shared" si="1"/>
        <v/>
      </c>
      <c r="O3" s="2" t="str">
        <f t="shared" si="2"/>
        <v/>
      </c>
      <c r="P3" s="2" t="str">
        <f t="shared" si="3"/>
        <v/>
      </c>
      <c r="Q3" s="2" t="s">
        <v>39</v>
      </c>
      <c r="R3" s="2" t="s">
        <v>40</v>
      </c>
      <c r="S3" s="2" t="s">
        <v>41</v>
      </c>
      <c r="T3" s="2"/>
    </row>
    <row r="4" spans="1:20" ht="80.099999999999994" customHeight="1" x14ac:dyDescent="0.3">
      <c r="A4" s="2" t="s">
        <v>20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259</v>
      </c>
      <c r="J4" s="2"/>
      <c r="K4" s="2"/>
      <c r="L4" s="2"/>
      <c r="M4" s="2" t="str">
        <f t="shared" si="0"/>
        <v/>
      </c>
      <c r="N4" s="2" t="str">
        <f t="shared" si="1"/>
        <v/>
      </c>
      <c r="O4" s="2" t="str">
        <f t="shared" si="2"/>
        <v/>
      </c>
      <c r="P4" s="2" t="str">
        <f t="shared" si="3"/>
        <v/>
      </c>
      <c r="Q4" s="2" t="s">
        <v>50</v>
      </c>
      <c r="R4" s="2" t="s">
        <v>51</v>
      </c>
      <c r="S4" s="2" t="s">
        <v>52</v>
      </c>
      <c r="T4" s="2"/>
    </row>
    <row r="5" spans="1:20" ht="80.099999999999994" customHeight="1" x14ac:dyDescent="0.3">
      <c r="A5" s="2" t="s">
        <v>20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260</v>
      </c>
      <c r="J5" s="2"/>
      <c r="K5" s="2"/>
      <c r="L5" s="2"/>
      <c r="M5" s="2" t="str">
        <f t="shared" si="0"/>
        <v/>
      </c>
      <c r="N5" s="2" t="str">
        <f t="shared" si="1"/>
        <v/>
      </c>
      <c r="O5" s="2" t="str">
        <f t="shared" si="2"/>
        <v/>
      </c>
      <c r="P5" s="2" t="str">
        <f t="shared" si="3"/>
        <v/>
      </c>
      <c r="Q5" s="2" t="s">
        <v>61</v>
      </c>
      <c r="R5" s="2" t="s">
        <v>62</v>
      </c>
      <c r="S5" s="2" t="s">
        <v>63</v>
      </c>
      <c r="T5" s="2"/>
    </row>
    <row r="6" spans="1:20" ht="80.099999999999994" customHeight="1" x14ac:dyDescent="0.3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261</v>
      </c>
      <c r="J6" s="2"/>
      <c r="K6" s="2"/>
      <c r="L6" s="2"/>
      <c r="M6" s="2" t="str">
        <f t="shared" si="0"/>
        <v/>
      </c>
      <c r="N6" s="2" t="str">
        <f t="shared" si="1"/>
        <v/>
      </c>
      <c r="O6" s="2" t="str">
        <f t="shared" si="2"/>
        <v/>
      </c>
      <c r="P6" s="2" t="str">
        <f t="shared" si="3"/>
        <v/>
      </c>
      <c r="Q6" s="2" t="s">
        <v>73</v>
      </c>
      <c r="R6" s="2" t="s">
        <v>74</v>
      </c>
      <c r="S6" s="2" t="s">
        <v>75</v>
      </c>
      <c r="T6" s="2"/>
    </row>
    <row r="7" spans="1:20" ht="80.099999999999994" customHeight="1" x14ac:dyDescent="0.3">
      <c r="A7" s="2" t="s">
        <v>64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80</v>
      </c>
      <c r="G7" s="2" t="s">
        <v>81</v>
      </c>
      <c r="H7" s="2" t="s">
        <v>82</v>
      </c>
      <c r="I7" s="2" t="s">
        <v>262</v>
      </c>
      <c r="J7" s="2"/>
      <c r="K7" s="2"/>
      <c r="L7" s="2"/>
      <c r="M7" s="2" t="str">
        <f t="shared" si="0"/>
        <v/>
      </c>
      <c r="N7" s="2" t="str">
        <f t="shared" si="1"/>
        <v/>
      </c>
      <c r="O7" s="2" t="str">
        <f t="shared" si="2"/>
        <v/>
      </c>
      <c r="P7" s="2" t="str">
        <f t="shared" si="3"/>
        <v/>
      </c>
      <c r="Q7" s="2" t="s">
        <v>84</v>
      </c>
      <c r="R7" s="2" t="s">
        <v>85</v>
      </c>
      <c r="S7" s="2" t="s">
        <v>86</v>
      </c>
      <c r="T7" s="2"/>
    </row>
    <row r="8" spans="1:20" ht="80.099999999999994" customHeight="1" x14ac:dyDescent="0.3">
      <c r="A8" s="2" t="s">
        <v>64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92</v>
      </c>
      <c r="H8" s="2" t="s">
        <v>93</v>
      </c>
      <c r="I8" s="2" t="s">
        <v>263</v>
      </c>
      <c r="J8" s="2"/>
      <c r="K8" s="2"/>
      <c r="L8" s="2"/>
      <c r="M8" s="2" t="str">
        <f t="shared" si="0"/>
        <v/>
      </c>
      <c r="N8" s="2" t="str">
        <f t="shared" si="1"/>
        <v/>
      </c>
      <c r="O8" s="2" t="str">
        <f t="shared" si="2"/>
        <v/>
      </c>
      <c r="P8" s="2" t="str">
        <f t="shared" si="3"/>
        <v/>
      </c>
      <c r="Q8" s="2" t="s">
        <v>95</v>
      </c>
      <c r="R8" s="2" t="s">
        <v>96</v>
      </c>
      <c r="S8" s="2" t="s">
        <v>97</v>
      </c>
      <c r="T8" s="2"/>
    </row>
    <row r="9" spans="1:20" ht="80.099999999999994" customHeight="1" x14ac:dyDescent="0.3">
      <c r="A9" s="2" t="s">
        <v>64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  <c r="G9" s="2" t="s">
        <v>103</v>
      </c>
      <c r="H9" s="2" t="s">
        <v>104</v>
      </c>
      <c r="I9" s="2" t="s">
        <v>264</v>
      </c>
      <c r="J9" s="2"/>
      <c r="K9" s="2"/>
      <c r="L9" s="2"/>
      <c r="M9" s="2" t="str">
        <f t="shared" si="0"/>
        <v/>
      </c>
      <c r="N9" s="2" t="str">
        <f t="shared" si="1"/>
        <v/>
      </c>
      <c r="O9" s="2" t="str">
        <f t="shared" si="2"/>
        <v/>
      </c>
      <c r="P9" s="2" t="str">
        <f t="shared" si="3"/>
        <v/>
      </c>
      <c r="Q9" s="2" t="s">
        <v>106</v>
      </c>
      <c r="R9" s="2" t="s">
        <v>107</v>
      </c>
      <c r="S9" s="2" t="s">
        <v>108</v>
      </c>
      <c r="T9" s="2"/>
    </row>
    <row r="10" spans="1:20" ht="80.099999999999994" customHeight="1" x14ac:dyDescent="0.3">
      <c r="A10" s="2" t="s">
        <v>109</v>
      </c>
      <c r="B10" s="2" t="s">
        <v>110</v>
      </c>
      <c r="C10" s="2" t="s">
        <v>111</v>
      </c>
      <c r="D10" s="2" t="s">
        <v>112</v>
      </c>
      <c r="E10" s="2" t="s">
        <v>113</v>
      </c>
      <c r="F10" s="2" t="s">
        <v>114</v>
      </c>
      <c r="G10" s="2" t="s">
        <v>115</v>
      </c>
      <c r="H10" s="2" t="s">
        <v>116</v>
      </c>
      <c r="I10" s="2" t="s">
        <v>117</v>
      </c>
      <c r="J10" s="2"/>
      <c r="K10" s="2"/>
      <c r="L10" s="2"/>
      <c r="M10" s="2" t="str">
        <f t="shared" si="0"/>
        <v/>
      </c>
      <c r="N10" s="2" t="str">
        <f t="shared" si="1"/>
        <v/>
      </c>
      <c r="O10" s="2" t="str">
        <f t="shared" si="2"/>
        <v/>
      </c>
      <c r="P10" s="2" t="str">
        <f t="shared" si="3"/>
        <v/>
      </c>
      <c r="Q10" s="2" t="s">
        <v>118</v>
      </c>
      <c r="R10" s="2" t="s">
        <v>119</v>
      </c>
      <c r="S10" s="2" t="s">
        <v>120</v>
      </c>
      <c r="T10" s="2"/>
    </row>
    <row r="11" spans="1:20" ht="80.099999999999994" customHeight="1" x14ac:dyDescent="0.3">
      <c r="A11" s="2" t="s">
        <v>109</v>
      </c>
      <c r="B11" s="2" t="s">
        <v>121</v>
      </c>
      <c r="C11" s="2" t="s">
        <v>122</v>
      </c>
      <c r="D11" s="2" t="s">
        <v>123</v>
      </c>
      <c r="E11" s="2" t="s">
        <v>124</v>
      </c>
      <c r="F11" s="2" t="s">
        <v>125</v>
      </c>
      <c r="G11" s="2" t="s">
        <v>126</v>
      </c>
      <c r="H11" s="2" t="s">
        <v>127</v>
      </c>
      <c r="I11" s="2" t="s">
        <v>265</v>
      </c>
      <c r="J11" s="2"/>
      <c r="K11" s="2"/>
      <c r="L11" s="2"/>
      <c r="M11" s="2" t="str">
        <f t="shared" si="0"/>
        <v/>
      </c>
      <c r="N11" s="2" t="str">
        <f t="shared" si="1"/>
        <v/>
      </c>
      <c r="O11" s="2" t="str">
        <f t="shared" si="2"/>
        <v/>
      </c>
      <c r="P11" s="2" t="str">
        <f t="shared" si="3"/>
        <v/>
      </c>
      <c r="Q11" s="2" t="s">
        <v>129</v>
      </c>
      <c r="R11" s="2" t="s">
        <v>130</v>
      </c>
      <c r="S11" s="2" t="s">
        <v>131</v>
      </c>
      <c r="T11" s="2"/>
    </row>
    <row r="12" spans="1:20" ht="80.099999999999994" customHeight="1" x14ac:dyDescent="0.3">
      <c r="A12" s="2" t="s">
        <v>109</v>
      </c>
      <c r="B12" s="2" t="s">
        <v>132</v>
      </c>
      <c r="C12" s="2" t="s">
        <v>133</v>
      </c>
      <c r="D12" s="2" t="s">
        <v>134</v>
      </c>
      <c r="E12" s="2" t="s">
        <v>135</v>
      </c>
      <c r="F12" s="2" t="s">
        <v>136</v>
      </c>
      <c r="G12" s="2" t="s">
        <v>137</v>
      </c>
      <c r="H12" s="2" t="s">
        <v>138</v>
      </c>
      <c r="I12" s="2" t="s">
        <v>266</v>
      </c>
      <c r="J12" s="2"/>
      <c r="K12" s="2"/>
      <c r="L12" s="2"/>
      <c r="M12" s="2" t="str">
        <f t="shared" si="0"/>
        <v/>
      </c>
      <c r="N12" s="2" t="str">
        <f t="shared" si="1"/>
        <v/>
      </c>
      <c r="O12" s="2" t="str">
        <f t="shared" si="2"/>
        <v/>
      </c>
      <c r="P12" s="2" t="str">
        <f t="shared" si="3"/>
        <v/>
      </c>
      <c r="Q12" s="2" t="s">
        <v>140</v>
      </c>
      <c r="R12" s="2" t="s">
        <v>141</v>
      </c>
      <c r="S12" s="2" t="s">
        <v>142</v>
      </c>
      <c r="T12" s="2"/>
    </row>
    <row r="13" spans="1:20" ht="80.099999999999994" customHeight="1" x14ac:dyDescent="0.3">
      <c r="A13" s="2" t="s">
        <v>109</v>
      </c>
      <c r="B13" s="2" t="s">
        <v>143</v>
      </c>
      <c r="C13" s="2" t="s">
        <v>144</v>
      </c>
      <c r="D13" s="2" t="s">
        <v>145</v>
      </c>
      <c r="E13" s="2" t="s">
        <v>146</v>
      </c>
      <c r="F13" s="2" t="s">
        <v>147</v>
      </c>
      <c r="G13" s="2" t="s">
        <v>148</v>
      </c>
      <c r="H13" s="2" t="s">
        <v>149</v>
      </c>
      <c r="I13" s="2" t="s">
        <v>267</v>
      </c>
      <c r="J13" s="2"/>
      <c r="K13" s="2"/>
      <c r="L13" s="2"/>
      <c r="M13" s="2" t="str">
        <f t="shared" si="0"/>
        <v/>
      </c>
      <c r="N13" s="2" t="str">
        <f t="shared" si="1"/>
        <v/>
      </c>
      <c r="O13" s="2" t="str">
        <f t="shared" si="2"/>
        <v/>
      </c>
      <c r="P13" s="2" t="str">
        <f t="shared" si="3"/>
        <v/>
      </c>
      <c r="Q13" s="2" t="s">
        <v>151</v>
      </c>
      <c r="R13" s="2" t="s">
        <v>152</v>
      </c>
      <c r="S13" s="2" t="s">
        <v>153</v>
      </c>
      <c r="T13" s="2"/>
    </row>
    <row r="14" spans="1:20" ht="80.099999999999994" customHeight="1" x14ac:dyDescent="0.3">
      <c r="A14" s="2" t="s">
        <v>154</v>
      </c>
      <c r="B14" s="2" t="s">
        <v>155</v>
      </c>
      <c r="C14" s="2" t="s">
        <v>156</v>
      </c>
      <c r="D14" s="2" t="s">
        <v>157</v>
      </c>
      <c r="E14" s="2" t="s">
        <v>158</v>
      </c>
      <c r="F14" s="2" t="s">
        <v>159</v>
      </c>
      <c r="G14" s="2" t="s">
        <v>160</v>
      </c>
      <c r="H14" s="2" t="s">
        <v>161</v>
      </c>
      <c r="I14" s="2" t="s">
        <v>268</v>
      </c>
      <c r="J14" s="2"/>
      <c r="K14" s="2"/>
      <c r="L14" s="2"/>
      <c r="M14" s="2" t="str">
        <f t="shared" si="0"/>
        <v/>
      </c>
      <c r="N14" s="2" t="str">
        <f t="shared" si="1"/>
        <v/>
      </c>
      <c r="O14" s="2" t="str">
        <f t="shared" si="2"/>
        <v/>
      </c>
      <c r="P14" s="2" t="str">
        <f t="shared" si="3"/>
        <v/>
      </c>
      <c r="Q14" s="2" t="s">
        <v>163</v>
      </c>
      <c r="R14" s="2" t="s">
        <v>164</v>
      </c>
      <c r="S14" s="2" t="s">
        <v>165</v>
      </c>
      <c r="T14" s="2"/>
    </row>
    <row r="15" spans="1:20" ht="80.099999999999994" customHeight="1" x14ac:dyDescent="0.3">
      <c r="A15" s="2" t="s">
        <v>154</v>
      </c>
      <c r="B15" s="2" t="s">
        <v>166</v>
      </c>
      <c r="C15" s="2" t="s">
        <v>167</v>
      </c>
      <c r="D15" s="2" t="s">
        <v>168</v>
      </c>
      <c r="E15" s="2" t="s">
        <v>169</v>
      </c>
      <c r="F15" s="2" t="s">
        <v>170</v>
      </c>
      <c r="G15" s="2" t="s">
        <v>171</v>
      </c>
      <c r="H15" s="2" t="s">
        <v>172</v>
      </c>
      <c r="I15" s="2" t="s">
        <v>269</v>
      </c>
      <c r="J15" s="2"/>
      <c r="K15" s="2"/>
      <c r="L15" s="2"/>
      <c r="M15" s="2" t="str">
        <f t="shared" si="0"/>
        <v/>
      </c>
      <c r="N15" s="2" t="str">
        <f t="shared" si="1"/>
        <v/>
      </c>
      <c r="O15" s="2" t="str">
        <f t="shared" si="2"/>
        <v/>
      </c>
      <c r="P15" s="2" t="str">
        <f t="shared" si="3"/>
        <v/>
      </c>
      <c r="Q15" s="2" t="s">
        <v>174</v>
      </c>
      <c r="R15" s="2" t="s">
        <v>175</v>
      </c>
      <c r="S15" s="2" t="s">
        <v>176</v>
      </c>
      <c r="T15" s="2"/>
    </row>
    <row r="16" spans="1:20" ht="80.099999999999994" customHeight="1" x14ac:dyDescent="0.3">
      <c r="A16" s="2" t="s">
        <v>154</v>
      </c>
      <c r="B16" s="2" t="s">
        <v>177</v>
      </c>
      <c r="C16" s="2" t="s">
        <v>178</v>
      </c>
      <c r="D16" s="2" t="s">
        <v>179</v>
      </c>
      <c r="E16" s="2" t="s">
        <v>180</v>
      </c>
      <c r="F16" s="2" t="s">
        <v>181</v>
      </c>
      <c r="G16" s="2" t="s">
        <v>182</v>
      </c>
      <c r="H16" s="2" t="s">
        <v>183</v>
      </c>
      <c r="I16" s="2" t="s">
        <v>270</v>
      </c>
      <c r="J16" s="2"/>
      <c r="K16" s="2"/>
      <c r="L16" s="2"/>
      <c r="M16" s="2" t="str">
        <f t="shared" si="0"/>
        <v/>
      </c>
      <c r="N16" s="2" t="str">
        <f t="shared" si="1"/>
        <v/>
      </c>
      <c r="O16" s="2" t="str">
        <f t="shared" si="2"/>
        <v/>
      </c>
      <c r="P16" s="2" t="str">
        <f t="shared" si="3"/>
        <v/>
      </c>
      <c r="Q16" s="2" t="s">
        <v>185</v>
      </c>
      <c r="R16" s="2" t="s">
        <v>186</v>
      </c>
      <c r="S16" s="2" t="s">
        <v>187</v>
      </c>
      <c r="T16" s="2"/>
    </row>
    <row r="17" spans="1:20" ht="80.099999999999994" customHeight="1" x14ac:dyDescent="0.3">
      <c r="A17" s="2" t="s">
        <v>154</v>
      </c>
      <c r="B17" s="2" t="s">
        <v>188</v>
      </c>
      <c r="C17" s="2" t="s">
        <v>189</v>
      </c>
      <c r="D17" s="2" t="s">
        <v>190</v>
      </c>
      <c r="E17" s="2" t="s">
        <v>191</v>
      </c>
      <c r="F17" s="2" t="s">
        <v>192</v>
      </c>
      <c r="G17" s="2" t="s">
        <v>193</v>
      </c>
      <c r="H17" s="2" t="s">
        <v>194</v>
      </c>
      <c r="I17" s="2" t="s">
        <v>271</v>
      </c>
      <c r="J17" s="2"/>
      <c r="K17" s="2"/>
      <c r="L17" s="2"/>
      <c r="M17" s="2" t="str">
        <f t="shared" si="0"/>
        <v/>
      </c>
      <c r="N17" s="2" t="str">
        <f t="shared" si="1"/>
        <v/>
      </c>
      <c r="O17" s="2" t="str">
        <f t="shared" si="2"/>
        <v/>
      </c>
      <c r="P17" s="2" t="str">
        <f t="shared" si="3"/>
        <v/>
      </c>
      <c r="Q17" s="2" t="s">
        <v>196</v>
      </c>
      <c r="R17" s="2" t="s">
        <v>197</v>
      </c>
      <c r="S17" s="2" t="s">
        <v>198</v>
      </c>
      <c r="T17" s="2"/>
    </row>
  </sheetData>
  <autoFilter ref="A1:T17" xr:uid="{00000000-0009-0000-0000-000000000000}"/>
  <conditionalFormatting sqref="J2:M17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O2:O17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dataValidations count="1">
    <dataValidation type="whole" allowBlank="1" errorTitle="Score no válido" error="Introduce un valor entero entre 1 y 5." sqref="J2:L17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7" width="18" customWidth="1"/>
  </cols>
  <sheetData>
    <row r="1" spans="1:7" ht="30" customHeight="1" x14ac:dyDescent="0.3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14</v>
      </c>
      <c r="G1" s="3" t="s">
        <v>15</v>
      </c>
    </row>
    <row r="2" spans="1:7" ht="30" customHeight="1" x14ac:dyDescent="0.3">
      <c r="A2" s="4" t="s">
        <v>20</v>
      </c>
      <c r="B2" s="4" t="str">
        <f>IFERROR(ROUND(AVERAGEIF(Assessment!$A:$A,A2,Assessment!$J:$J),0),"")</f>
        <v/>
      </c>
      <c r="C2" s="4" t="str">
        <f>IFERROR(ROUND(AVERAGEIF(Assessment!$A:$A,A2,Assessment!$K:$K),0),"")</f>
        <v/>
      </c>
      <c r="D2" s="4" t="str">
        <f>IFERROR(ROUND(AVERAGEIF(Assessment!$A:$A,A2,Assessment!$L:$L),0),"")</f>
        <v/>
      </c>
      <c r="E2" s="4" t="str">
        <f>IFERROR(ROUND(AVERAGE(B2:D2),0),"")</f>
        <v/>
      </c>
      <c r="F2" s="4" t="str">
        <f>IF(E2="","",MAX(0,4-E2))</f>
        <v/>
      </c>
      <c r="G2" s="4" t="str">
        <f>IF(F2="","",IF(F2&gt;=3,"Alta",IF(F2=2,"Media",IF(F2=1,"Media","Baja"))))</f>
        <v/>
      </c>
    </row>
    <row r="3" spans="1:7" ht="30" customHeight="1" x14ac:dyDescent="0.3">
      <c r="A3" s="4" t="s">
        <v>64</v>
      </c>
      <c r="B3" s="4" t="str">
        <f>IFERROR(ROUND(AVERAGEIF(Assessment!$A:$A,A3,Assessment!$J:$J),0),"")</f>
        <v/>
      </c>
      <c r="C3" s="4" t="str">
        <f>IFERROR(ROUND(AVERAGEIF(Assessment!$A:$A,A3,Assessment!$K:$K),0),"")</f>
        <v/>
      </c>
      <c r="D3" s="4" t="str">
        <f>IFERROR(ROUND(AVERAGEIF(Assessment!$A:$A,A3,Assessment!$L:$L),0),"")</f>
        <v/>
      </c>
      <c r="E3" s="4" t="str">
        <f>IFERROR(ROUND(AVERAGE(B3:D3),0),"")</f>
        <v/>
      </c>
      <c r="F3" s="4" t="str">
        <f>IF(E3="","",MAX(0,4-E3))</f>
        <v/>
      </c>
      <c r="G3" s="4" t="str">
        <f>IF(F3="","",IF(F3&gt;=3,"Alta",IF(F3=2,"Media",IF(F3=1,"Media","Baja"))))</f>
        <v/>
      </c>
    </row>
    <row r="4" spans="1:7" ht="30" customHeight="1" x14ac:dyDescent="0.3">
      <c r="A4" s="4" t="s">
        <v>109</v>
      </c>
      <c r="B4" s="4" t="str">
        <f>IFERROR(ROUND(AVERAGEIF(Assessment!$A:$A,A4,Assessment!$J:$J),0),"")</f>
        <v/>
      </c>
      <c r="C4" s="4" t="str">
        <f>IFERROR(ROUND(AVERAGEIF(Assessment!$A:$A,A4,Assessment!$K:$K),0),"")</f>
        <v/>
      </c>
      <c r="D4" s="4" t="str">
        <f>IFERROR(ROUND(AVERAGEIF(Assessment!$A:$A,A4,Assessment!$L:$L),0),"")</f>
        <v/>
      </c>
      <c r="E4" s="4" t="str">
        <f>IFERROR(ROUND(AVERAGE(B4:D4),0),"")</f>
        <v/>
      </c>
      <c r="F4" s="4" t="str">
        <f>IF(E4="","",MAX(0,4-E4))</f>
        <v/>
      </c>
      <c r="G4" s="4" t="str">
        <f>IF(F4="","",IF(F4&gt;=3,"Alta",IF(F4=2,"Media",IF(F4=1,"Media","Baja"))))</f>
        <v/>
      </c>
    </row>
    <row r="5" spans="1:7" ht="30" customHeight="1" x14ac:dyDescent="0.3">
      <c r="A5" s="4" t="s">
        <v>154</v>
      </c>
      <c r="B5" s="4" t="str">
        <f>IFERROR(ROUND(AVERAGEIF(Assessment!$A:$A,A5,Assessment!$J:$J),0),"")</f>
        <v/>
      </c>
      <c r="C5" s="4" t="str">
        <f>IFERROR(ROUND(AVERAGEIF(Assessment!$A:$A,A5,Assessment!$K:$K),0),"")</f>
        <v/>
      </c>
      <c r="D5" s="4" t="str">
        <f>IFERROR(ROUND(AVERAGEIF(Assessment!$A:$A,A5,Assessment!$L:$L),0),"")</f>
        <v/>
      </c>
      <c r="E5" s="4" t="str">
        <f>IFERROR(ROUND(AVERAGE(B5:D5),0),"")</f>
        <v/>
      </c>
      <c r="F5" s="4" t="str">
        <f>IF(E5="","",MAX(0,4-E5))</f>
        <v/>
      </c>
      <c r="G5" s="4" t="str">
        <f>IF(F5="","",IF(F5&gt;=3,"Alta",IF(F5=2,"Media",IF(F5=1,"Media","Baja"))))</f>
        <v/>
      </c>
    </row>
    <row r="6" spans="1:7" ht="30" customHeight="1" x14ac:dyDescent="0.3">
      <c r="A6" s="4" t="s">
        <v>199</v>
      </c>
      <c r="B6" s="4" t="str">
        <f>IFERROR(ROUND(AVERAGE(B2:B5),0),"")</f>
        <v/>
      </c>
      <c r="C6" s="4" t="str">
        <f>IFERROR(ROUND(AVERAGE(C2:C5),0),"")</f>
        <v/>
      </c>
      <c r="D6" s="4" t="str">
        <f>IFERROR(ROUND(AVERAGE(D2:D5),0),"")</f>
        <v/>
      </c>
      <c r="E6" s="4" t="str">
        <f>IFERROR(ROUND(AVERAGE(E2:E5),0),"")</f>
        <v/>
      </c>
      <c r="F6" s="4" t="str">
        <f>IF(E6="","",MAX(0,4-E6))</f>
        <v/>
      </c>
      <c r="G6" s="4" t="str">
        <f>IF(F6="","",IF(F6&gt;=3,"Alta",IF(F6=2,"Media",IF(F6=1,"Media","Baja"))))</f>
        <v/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35" customWidth="1"/>
    <col min="2" max="2" width="48" customWidth="1"/>
    <col min="3" max="4" width="12" customWidth="1"/>
    <col min="5" max="5" width="14" customWidth="1"/>
    <col min="6" max="6" width="12" customWidth="1"/>
    <col min="7" max="7" width="10" customWidth="1"/>
    <col min="8" max="8" width="14" customWidth="1"/>
  </cols>
  <sheetData>
    <row r="1" spans="1:8" ht="30" customHeight="1" x14ac:dyDescent="0.3">
      <c r="A1" s="1" t="s">
        <v>0</v>
      </c>
      <c r="B1" s="1" t="s">
        <v>1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15</v>
      </c>
    </row>
    <row r="2" spans="1:8" ht="80.099999999999994" customHeight="1" x14ac:dyDescent="0.3">
      <c r="A2" s="2" t="s">
        <v>20</v>
      </c>
      <c r="B2" s="2" t="s">
        <v>21</v>
      </c>
      <c r="C2" s="2">
        <f>Assessment!J2</f>
        <v>0</v>
      </c>
      <c r="D2" s="2">
        <f>Assessment!K2</f>
        <v>0</v>
      </c>
      <c r="E2" s="2">
        <f>Assessment!L2</f>
        <v>0</v>
      </c>
      <c r="F2" s="2" t="str">
        <f>Assessment!M2</f>
        <v/>
      </c>
      <c r="G2" s="2" t="str">
        <f>Assessment!O2</f>
        <v/>
      </c>
      <c r="H2" s="2" t="str">
        <f>Assessment!P2</f>
        <v/>
      </c>
    </row>
    <row r="3" spans="1:8" ht="80.099999999999994" customHeight="1" x14ac:dyDescent="0.3">
      <c r="A3" s="2" t="s">
        <v>20</v>
      </c>
      <c r="B3" s="2" t="s">
        <v>32</v>
      </c>
      <c r="C3" s="2">
        <f>Assessment!J3</f>
        <v>0</v>
      </c>
      <c r="D3" s="2">
        <f>Assessment!K3</f>
        <v>0</v>
      </c>
      <c r="E3" s="2">
        <f>Assessment!L3</f>
        <v>0</v>
      </c>
      <c r="F3" s="2" t="str">
        <f>Assessment!M3</f>
        <v/>
      </c>
      <c r="G3" s="2" t="str">
        <f>Assessment!O3</f>
        <v/>
      </c>
      <c r="H3" s="2" t="str">
        <f>Assessment!P3</f>
        <v/>
      </c>
    </row>
    <row r="4" spans="1:8" ht="80.099999999999994" customHeight="1" x14ac:dyDescent="0.3">
      <c r="A4" s="2" t="s">
        <v>20</v>
      </c>
      <c r="B4" s="2" t="s">
        <v>42</v>
      </c>
      <c r="C4" s="2">
        <f>Assessment!J4</f>
        <v>0</v>
      </c>
      <c r="D4" s="2">
        <f>Assessment!K4</f>
        <v>0</v>
      </c>
      <c r="E4" s="2">
        <f>Assessment!L4</f>
        <v>0</v>
      </c>
      <c r="F4" s="2" t="str">
        <f>Assessment!M4</f>
        <v/>
      </c>
      <c r="G4" s="2" t="str">
        <f>Assessment!O4</f>
        <v/>
      </c>
      <c r="H4" s="2" t="str">
        <f>Assessment!P4</f>
        <v/>
      </c>
    </row>
    <row r="5" spans="1:8" ht="80.099999999999994" customHeight="1" x14ac:dyDescent="0.3">
      <c r="A5" s="2" t="s">
        <v>20</v>
      </c>
      <c r="B5" s="2" t="s">
        <v>53</v>
      </c>
      <c r="C5" s="2">
        <f>Assessment!J5</f>
        <v>0</v>
      </c>
      <c r="D5" s="2">
        <f>Assessment!K5</f>
        <v>0</v>
      </c>
      <c r="E5" s="2">
        <f>Assessment!L5</f>
        <v>0</v>
      </c>
      <c r="F5" s="2" t="str">
        <f>Assessment!M5</f>
        <v/>
      </c>
      <c r="G5" s="2" t="str">
        <f>Assessment!O5</f>
        <v/>
      </c>
      <c r="H5" s="2" t="str">
        <f>Assessment!P5</f>
        <v/>
      </c>
    </row>
    <row r="6" spans="1:8" ht="80.099999999999994" customHeight="1" x14ac:dyDescent="0.3">
      <c r="A6" s="2" t="s">
        <v>64</v>
      </c>
      <c r="B6" s="2" t="s">
        <v>65</v>
      </c>
      <c r="C6" s="2">
        <f>Assessment!J6</f>
        <v>0</v>
      </c>
      <c r="D6" s="2">
        <f>Assessment!K6</f>
        <v>0</v>
      </c>
      <c r="E6" s="2">
        <f>Assessment!L6</f>
        <v>0</v>
      </c>
      <c r="F6" s="2" t="str">
        <f>Assessment!M6</f>
        <v/>
      </c>
      <c r="G6" s="2" t="str">
        <f>Assessment!O6</f>
        <v/>
      </c>
      <c r="H6" s="2" t="str">
        <f>Assessment!P6</f>
        <v/>
      </c>
    </row>
    <row r="7" spans="1:8" ht="80.099999999999994" customHeight="1" x14ac:dyDescent="0.3">
      <c r="A7" s="2" t="s">
        <v>64</v>
      </c>
      <c r="B7" s="2" t="s">
        <v>76</v>
      </c>
      <c r="C7" s="2">
        <f>Assessment!J7</f>
        <v>0</v>
      </c>
      <c r="D7" s="2">
        <f>Assessment!K7</f>
        <v>0</v>
      </c>
      <c r="E7" s="2">
        <f>Assessment!L7</f>
        <v>0</v>
      </c>
      <c r="F7" s="2" t="str">
        <f>Assessment!M7</f>
        <v/>
      </c>
      <c r="G7" s="2" t="str">
        <f>Assessment!O7</f>
        <v/>
      </c>
      <c r="H7" s="2" t="str">
        <f>Assessment!P7</f>
        <v/>
      </c>
    </row>
    <row r="8" spans="1:8" ht="80.099999999999994" customHeight="1" x14ac:dyDescent="0.3">
      <c r="A8" s="2" t="s">
        <v>64</v>
      </c>
      <c r="B8" s="2" t="s">
        <v>87</v>
      </c>
      <c r="C8" s="2">
        <f>Assessment!J8</f>
        <v>0</v>
      </c>
      <c r="D8" s="2">
        <f>Assessment!K8</f>
        <v>0</v>
      </c>
      <c r="E8" s="2">
        <f>Assessment!L8</f>
        <v>0</v>
      </c>
      <c r="F8" s="2" t="str">
        <f>Assessment!M8</f>
        <v/>
      </c>
      <c r="G8" s="2" t="str">
        <f>Assessment!O8</f>
        <v/>
      </c>
      <c r="H8" s="2" t="str">
        <f>Assessment!P8</f>
        <v/>
      </c>
    </row>
    <row r="9" spans="1:8" ht="80.099999999999994" customHeight="1" x14ac:dyDescent="0.3">
      <c r="A9" s="2" t="s">
        <v>64</v>
      </c>
      <c r="B9" s="2" t="s">
        <v>98</v>
      </c>
      <c r="C9" s="2">
        <f>Assessment!J9</f>
        <v>0</v>
      </c>
      <c r="D9" s="2">
        <f>Assessment!K9</f>
        <v>0</v>
      </c>
      <c r="E9" s="2">
        <f>Assessment!L9</f>
        <v>0</v>
      </c>
      <c r="F9" s="2" t="str">
        <f>Assessment!M9</f>
        <v/>
      </c>
      <c r="G9" s="2" t="str">
        <f>Assessment!O9</f>
        <v/>
      </c>
      <c r="H9" s="2" t="str">
        <f>Assessment!P9</f>
        <v/>
      </c>
    </row>
    <row r="10" spans="1:8" ht="80.099999999999994" customHeight="1" x14ac:dyDescent="0.3">
      <c r="A10" s="2" t="s">
        <v>109</v>
      </c>
      <c r="B10" s="2" t="s">
        <v>110</v>
      </c>
      <c r="C10" s="2">
        <f>Assessment!J10</f>
        <v>0</v>
      </c>
      <c r="D10" s="2">
        <f>Assessment!K10</f>
        <v>0</v>
      </c>
      <c r="E10" s="2">
        <f>Assessment!L10</f>
        <v>0</v>
      </c>
      <c r="F10" s="2" t="str">
        <f>Assessment!M10</f>
        <v/>
      </c>
      <c r="G10" s="2" t="str">
        <f>Assessment!O10</f>
        <v/>
      </c>
      <c r="H10" s="2" t="str">
        <f>Assessment!P10</f>
        <v/>
      </c>
    </row>
    <row r="11" spans="1:8" ht="80.099999999999994" customHeight="1" x14ac:dyDescent="0.3">
      <c r="A11" s="2" t="s">
        <v>109</v>
      </c>
      <c r="B11" s="2" t="s">
        <v>121</v>
      </c>
      <c r="C11" s="2">
        <f>Assessment!J11</f>
        <v>0</v>
      </c>
      <c r="D11" s="2">
        <f>Assessment!K11</f>
        <v>0</v>
      </c>
      <c r="E11" s="2">
        <f>Assessment!L11</f>
        <v>0</v>
      </c>
      <c r="F11" s="2" t="str">
        <f>Assessment!M11</f>
        <v/>
      </c>
      <c r="G11" s="2" t="str">
        <f>Assessment!O11</f>
        <v/>
      </c>
      <c r="H11" s="2" t="str">
        <f>Assessment!P11</f>
        <v/>
      </c>
    </row>
    <row r="12" spans="1:8" ht="80.099999999999994" customHeight="1" x14ac:dyDescent="0.3">
      <c r="A12" s="2" t="s">
        <v>109</v>
      </c>
      <c r="B12" s="2" t="s">
        <v>132</v>
      </c>
      <c r="C12" s="2">
        <f>Assessment!J12</f>
        <v>0</v>
      </c>
      <c r="D12" s="2">
        <f>Assessment!K12</f>
        <v>0</v>
      </c>
      <c r="E12" s="2">
        <f>Assessment!L12</f>
        <v>0</v>
      </c>
      <c r="F12" s="2" t="str">
        <f>Assessment!M12</f>
        <v/>
      </c>
      <c r="G12" s="2" t="str">
        <f>Assessment!O12</f>
        <v/>
      </c>
      <c r="H12" s="2" t="str">
        <f>Assessment!P12</f>
        <v/>
      </c>
    </row>
    <row r="13" spans="1:8" ht="80.099999999999994" customHeight="1" x14ac:dyDescent="0.3">
      <c r="A13" s="2" t="s">
        <v>109</v>
      </c>
      <c r="B13" s="2" t="s">
        <v>143</v>
      </c>
      <c r="C13" s="2">
        <f>Assessment!J13</f>
        <v>0</v>
      </c>
      <c r="D13" s="2">
        <f>Assessment!K13</f>
        <v>0</v>
      </c>
      <c r="E13" s="2">
        <f>Assessment!L13</f>
        <v>0</v>
      </c>
      <c r="F13" s="2" t="str">
        <f>Assessment!M13</f>
        <v/>
      </c>
      <c r="G13" s="2" t="str">
        <f>Assessment!O13</f>
        <v/>
      </c>
      <c r="H13" s="2" t="str">
        <f>Assessment!P13</f>
        <v/>
      </c>
    </row>
    <row r="14" spans="1:8" ht="80.099999999999994" customHeight="1" x14ac:dyDescent="0.3">
      <c r="A14" s="2" t="s">
        <v>154</v>
      </c>
      <c r="B14" s="2" t="s">
        <v>155</v>
      </c>
      <c r="C14" s="2">
        <f>Assessment!J14</f>
        <v>0</v>
      </c>
      <c r="D14" s="2">
        <f>Assessment!K14</f>
        <v>0</v>
      </c>
      <c r="E14" s="2">
        <f>Assessment!L14</f>
        <v>0</v>
      </c>
      <c r="F14" s="2" t="str">
        <f>Assessment!M14</f>
        <v/>
      </c>
      <c r="G14" s="2" t="str">
        <f>Assessment!O14</f>
        <v/>
      </c>
      <c r="H14" s="2" t="str">
        <f>Assessment!P14</f>
        <v/>
      </c>
    </row>
    <row r="15" spans="1:8" ht="80.099999999999994" customHeight="1" x14ac:dyDescent="0.3">
      <c r="A15" s="2" t="s">
        <v>154</v>
      </c>
      <c r="B15" s="2" t="s">
        <v>166</v>
      </c>
      <c r="C15" s="2">
        <f>Assessment!J15</f>
        <v>0</v>
      </c>
      <c r="D15" s="2">
        <f>Assessment!K15</f>
        <v>0</v>
      </c>
      <c r="E15" s="2">
        <f>Assessment!L15</f>
        <v>0</v>
      </c>
      <c r="F15" s="2" t="str">
        <f>Assessment!M15</f>
        <v/>
      </c>
      <c r="G15" s="2" t="str">
        <f>Assessment!O15</f>
        <v/>
      </c>
      <c r="H15" s="2" t="str">
        <f>Assessment!P15</f>
        <v/>
      </c>
    </row>
    <row r="16" spans="1:8" ht="80.099999999999994" customHeight="1" x14ac:dyDescent="0.3">
      <c r="A16" s="2" t="s">
        <v>154</v>
      </c>
      <c r="B16" s="2" t="s">
        <v>177</v>
      </c>
      <c r="C16" s="2">
        <f>Assessment!J16</f>
        <v>0</v>
      </c>
      <c r="D16" s="2">
        <f>Assessment!K16</f>
        <v>0</v>
      </c>
      <c r="E16" s="2">
        <f>Assessment!L16</f>
        <v>0</v>
      </c>
      <c r="F16" s="2" t="str">
        <f>Assessment!M16</f>
        <v/>
      </c>
      <c r="G16" s="2" t="str">
        <f>Assessment!O16</f>
        <v/>
      </c>
      <c r="H16" s="2" t="str">
        <f>Assessment!P16</f>
        <v/>
      </c>
    </row>
    <row r="17" spans="1:8" ht="80.099999999999994" customHeight="1" x14ac:dyDescent="0.3">
      <c r="A17" s="2" t="s">
        <v>154</v>
      </c>
      <c r="B17" s="2" t="s">
        <v>188</v>
      </c>
      <c r="C17" s="2">
        <f>Assessment!J17</f>
        <v>0</v>
      </c>
      <c r="D17" s="2">
        <f>Assessment!K17</f>
        <v>0</v>
      </c>
      <c r="E17" s="2">
        <f>Assessment!L17</f>
        <v>0</v>
      </c>
      <c r="F17" s="2" t="str">
        <f>Assessment!M17</f>
        <v/>
      </c>
      <c r="G17" s="2" t="str">
        <f>Assessment!O17</f>
        <v/>
      </c>
      <c r="H17" s="2" t="str">
        <f>Assessment!P17</f>
        <v/>
      </c>
    </row>
  </sheetData>
  <autoFilter ref="A1:H17" xr:uid="{00000000-0009-0000-0000-000002000000}"/>
  <conditionalFormatting sqref="C2:F17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G2:G17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35" customWidth="1"/>
    <col min="2" max="2" width="48" customWidth="1"/>
    <col min="3" max="3" width="10" customWidth="1"/>
    <col min="4" max="4" width="14" customWidth="1"/>
    <col min="5" max="5" width="60" customWidth="1"/>
    <col min="6" max="6" width="55" customWidth="1"/>
    <col min="7" max="7" width="14" customWidth="1"/>
    <col min="8" max="8" width="18" customWidth="1"/>
    <col min="9" max="9" width="16" customWidth="1"/>
    <col min="10" max="10" width="35" customWidth="1"/>
  </cols>
  <sheetData>
    <row r="1" spans="1:10" ht="30" customHeight="1" x14ac:dyDescent="0.3">
      <c r="A1" s="1" t="s">
        <v>0</v>
      </c>
      <c r="B1" s="1" t="s">
        <v>1</v>
      </c>
      <c r="C1" s="1" t="s">
        <v>204</v>
      </c>
      <c r="D1" s="1" t="s">
        <v>15</v>
      </c>
      <c r="E1" s="1" t="s">
        <v>18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</row>
    <row r="2" spans="1:10" ht="80.099999999999994" customHeight="1" x14ac:dyDescent="0.3">
      <c r="A2" s="2" t="s">
        <v>20</v>
      </c>
      <c r="B2" s="2" t="s">
        <v>21</v>
      </c>
      <c r="C2" s="2" t="str">
        <f>Assessment!O2</f>
        <v/>
      </c>
      <c r="D2" s="2" t="str">
        <f>Assessment!P2</f>
        <v/>
      </c>
      <c r="E2" s="2" t="s">
        <v>31</v>
      </c>
      <c r="F2" s="2" t="s">
        <v>258</v>
      </c>
      <c r="G2" s="2" t="str">
        <f t="shared" ref="G2:G17" si="0">IF(C2="","",IF(C2&gt;=3,"Oleada 1",IF(C2=2,"Oleada 2",IF(C2=1,"Oleada 3",""))))</f>
        <v/>
      </c>
      <c r="H2" s="2"/>
      <c r="I2" s="2" t="s">
        <v>210</v>
      </c>
      <c r="J2" s="2"/>
    </row>
    <row r="3" spans="1:10" ht="80.099999999999994" customHeight="1" x14ac:dyDescent="0.3">
      <c r="A3" s="2" t="s">
        <v>20</v>
      </c>
      <c r="B3" s="2" t="s">
        <v>32</v>
      </c>
      <c r="C3" s="2" t="str">
        <f>Assessment!O3</f>
        <v/>
      </c>
      <c r="D3" s="2" t="str">
        <f>Assessment!P3</f>
        <v/>
      </c>
      <c r="E3" s="2" t="s">
        <v>41</v>
      </c>
      <c r="F3" s="2" t="s">
        <v>258</v>
      </c>
      <c r="G3" s="2" t="str">
        <f t="shared" si="0"/>
        <v/>
      </c>
      <c r="H3" s="2"/>
      <c r="I3" s="2" t="s">
        <v>210</v>
      </c>
      <c r="J3" s="2"/>
    </row>
    <row r="4" spans="1:10" ht="80.099999999999994" customHeight="1" x14ac:dyDescent="0.3">
      <c r="A4" s="2" t="s">
        <v>20</v>
      </c>
      <c r="B4" s="2" t="s">
        <v>42</v>
      </c>
      <c r="C4" s="2" t="str">
        <f>Assessment!O4</f>
        <v/>
      </c>
      <c r="D4" s="2" t="str">
        <f>Assessment!P4</f>
        <v/>
      </c>
      <c r="E4" s="2" t="s">
        <v>52</v>
      </c>
      <c r="F4" s="2" t="s">
        <v>259</v>
      </c>
      <c r="G4" s="2" t="str">
        <f t="shared" si="0"/>
        <v/>
      </c>
      <c r="H4" s="2"/>
      <c r="I4" s="2" t="s">
        <v>210</v>
      </c>
      <c r="J4" s="2"/>
    </row>
    <row r="5" spans="1:10" ht="80.099999999999994" customHeight="1" x14ac:dyDescent="0.3">
      <c r="A5" s="2" t="s">
        <v>20</v>
      </c>
      <c r="B5" s="2" t="s">
        <v>53</v>
      </c>
      <c r="C5" s="2" t="str">
        <f>Assessment!O5</f>
        <v/>
      </c>
      <c r="D5" s="2" t="str">
        <f>Assessment!P5</f>
        <v/>
      </c>
      <c r="E5" s="2" t="s">
        <v>63</v>
      </c>
      <c r="F5" s="2" t="s">
        <v>260</v>
      </c>
      <c r="G5" s="2" t="str">
        <f t="shared" si="0"/>
        <v/>
      </c>
      <c r="H5" s="2"/>
      <c r="I5" s="2" t="s">
        <v>210</v>
      </c>
      <c r="J5" s="2"/>
    </row>
    <row r="6" spans="1:10" ht="80.099999999999994" customHeight="1" x14ac:dyDescent="0.3">
      <c r="A6" s="2" t="s">
        <v>64</v>
      </c>
      <c r="B6" s="2" t="s">
        <v>65</v>
      </c>
      <c r="C6" s="2" t="str">
        <f>Assessment!O6</f>
        <v/>
      </c>
      <c r="D6" s="2" t="str">
        <f>Assessment!P6</f>
        <v/>
      </c>
      <c r="E6" s="2" t="s">
        <v>75</v>
      </c>
      <c r="F6" s="2" t="s">
        <v>261</v>
      </c>
      <c r="G6" s="2" t="str">
        <f t="shared" si="0"/>
        <v/>
      </c>
      <c r="H6" s="2"/>
      <c r="I6" s="2" t="s">
        <v>210</v>
      </c>
      <c r="J6" s="2"/>
    </row>
    <row r="7" spans="1:10" ht="80.099999999999994" customHeight="1" x14ac:dyDescent="0.3">
      <c r="A7" s="2" t="s">
        <v>64</v>
      </c>
      <c r="B7" s="2" t="s">
        <v>76</v>
      </c>
      <c r="C7" s="2" t="str">
        <f>Assessment!O7</f>
        <v/>
      </c>
      <c r="D7" s="2" t="str">
        <f>Assessment!P7</f>
        <v/>
      </c>
      <c r="E7" s="2" t="s">
        <v>86</v>
      </c>
      <c r="F7" s="2" t="s">
        <v>262</v>
      </c>
      <c r="G7" s="2" t="str">
        <f t="shared" si="0"/>
        <v/>
      </c>
      <c r="H7" s="2"/>
      <c r="I7" s="2" t="s">
        <v>210</v>
      </c>
      <c r="J7" s="2"/>
    </row>
    <row r="8" spans="1:10" ht="80.099999999999994" customHeight="1" x14ac:dyDescent="0.3">
      <c r="A8" s="2" t="s">
        <v>64</v>
      </c>
      <c r="B8" s="2" t="s">
        <v>87</v>
      </c>
      <c r="C8" s="2" t="str">
        <f>Assessment!O8</f>
        <v/>
      </c>
      <c r="D8" s="2" t="str">
        <f>Assessment!P8</f>
        <v/>
      </c>
      <c r="E8" s="2" t="s">
        <v>97</v>
      </c>
      <c r="F8" s="2" t="s">
        <v>263</v>
      </c>
      <c r="G8" s="2" t="str">
        <f t="shared" si="0"/>
        <v/>
      </c>
      <c r="H8" s="2"/>
      <c r="I8" s="2" t="s">
        <v>210</v>
      </c>
      <c r="J8" s="2"/>
    </row>
    <row r="9" spans="1:10" ht="80.099999999999994" customHeight="1" x14ac:dyDescent="0.3">
      <c r="A9" s="2" t="s">
        <v>64</v>
      </c>
      <c r="B9" s="2" t="s">
        <v>98</v>
      </c>
      <c r="C9" s="2" t="str">
        <f>Assessment!O9</f>
        <v/>
      </c>
      <c r="D9" s="2" t="str">
        <f>Assessment!P9</f>
        <v/>
      </c>
      <c r="E9" s="2" t="s">
        <v>108</v>
      </c>
      <c r="F9" s="2" t="s">
        <v>264</v>
      </c>
      <c r="G9" s="2" t="str">
        <f t="shared" si="0"/>
        <v/>
      </c>
      <c r="H9" s="2"/>
      <c r="I9" s="2" t="s">
        <v>210</v>
      </c>
      <c r="J9" s="2"/>
    </row>
    <row r="10" spans="1:10" ht="80.099999999999994" customHeight="1" x14ac:dyDescent="0.3">
      <c r="A10" s="2" t="s">
        <v>109</v>
      </c>
      <c r="B10" s="2" t="s">
        <v>110</v>
      </c>
      <c r="C10" s="2" t="str">
        <f>Assessment!O10</f>
        <v/>
      </c>
      <c r="D10" s="2" t="str">
        <f>Assessment!P10</f>
        <v/>
      </c>
      <c r="E10" s="2" t="s">
        <v>120</v>
      </c>
      <c r="F10" s="2" t="s">
        <v>117</v>
      </c>
      <c r="G10" s="2" t="str">
        <f t="shared" si="0"/>
        <v/>
      </c>
      <c r="H10" s="2"/>
      <c r="I10" s="2" t="s">
        <v>210</v>
      </c>
      <c r="J10" s="2"/>
    </row>
    <row r="11" spans="1:10" ht="80.099999999999994" customHeight="1" x14ac:dyDescent="0.3">
      <c r="A11" s="2" t="s">
        <v>109</v>
      </c>
      <c r="B11" s="2" t="s">
        <v>121</v>
      </c>
      <c r="C11" s="2" t="str">
        <f>Assessment!O11</f>
        <v/>
      </c>
      <c r="D11" s="2" t="str">
        <f>Assessment!P11</f>
        <v/>
      </c>
      <c r="E11" s="2" t="s">
        <v>131</v>
      </c>
      <c r="F11" s="2" t="s">
        <v>265</v>
      </c>
      <c r="G11" s="2" t="str">
        <f t="shared" si="0"/>
        <v/>
      </c>
      <c r="H11" s="2"/>
      <c r="I11" s="2" t="s">
        <v>210</v>
      </c>
      <c r="J11" s="2"/>
    </row>
    <row r="12" spans="1:10" ht="80.099999999999994" customHeight="1" x14ac:dyDescent="0.3">
      <c r="A12" s="2" t="s">
        <v>109</v>
      </c>
      <c r="B12" s="2" t="s">
        <v>132</v>
      </c>
      <c r="C12" s="2" t="str">
        <f>Assessment!O12</f>
        <v/>
      </c>
      <c r="D12" s="2" t="str">
        <f>Assessment!P12</f>
        <v/>
      </c>
      <c r="E12" s="2" t="s">
        <v>142</v>
      </c>
      <c r="F12" s="2" t="s">
        <v>266</v>
      </c>
      <c r="G12" s="2" t="str">
        <f t="shared" si="0"/>
        <v/>
      </c>
      <c r="H12" s="2"/>
      <c r="I12" s="2" t="s">
        <v>210</v>
      </c>
      <c r="J12" s="2"/>
    </row>
    <row r="13" spans="1:10" ht="80.099999999999994" customHeight="1" x14ac:dyDescent="0.3">
      <c r="A13" s="2" t="s">
        <v>109</v>
      </c>
      <c r="B13" s="2" t="s">
        <v>143</v>
      </c>
      <c r="C13" s="2" t="str">
        <f>Assessment!O13</f>
        <v/>
      </c>
      <c r="D13" s="2" t="str">
        <f>Assessment!P13</f>
        <v/>
      </c>
      <c r="E13" s="2" t="s">
        <v>153</v>
      </c>
      <c r="F13" s="2" t="s">
        <v>267</v>
      </c>
      <c r="G13" s="2" t="str">
        <f t="shared" si="0"/>
        <v/>
      </c>
      <c r="H13" s="2"/>
      <c r="I13" s="2" t="s">
        <v>210</v>
      </c>
      <c r="J13" s="2"/>
    </row>
    <row r="14" spans="1:10" ht="80.099999999999994" customHeight="1" x14ac:dyDescent="0.3">
      <c r="A14" s="2" t="s">
        <v>154</v>
      </c>
      <c r="B14" s="2" t="s">
        <v>155</v>
      </c>
      <c r="C14" s="2" t="str">
        <f>Assessment!O14</f>
        <v/>
      </c>
      <c r="D14" s="2" t="str">
        <f>Assessment!P14</f>
        <v/>
      </c>
      <c r="E14" s="2" t="s">
        <v>165</v>
      </c>
      <c r="F14" s="2" t="s">
        <v>268</v>
      </c>
      <c r="G14" s="2" t="str">
        <f t="shared" si="0"/>
        <v/>
      </c>
      <c r="H14" s="2"/>
      <c r="I14" s="2" t="s">
        <v>210</v>
      </c>
      <c r="J14" s="2"/>
    </row>
    <row r="15" spans="1:10" ht="80.099999999999994" customHeight="1" x14ac:dyDescent="0.3">
      <c r="A15" s="2" t="s">
        <v>154</v>
      </c>
      <c r="B15" s="2" t="s">
        <v>166</v>
      </c>
      <c r="C15" s="2" t="str">
        <f>Assessment!O15</f>
        <v/>
      </c>
      <c r="D15" s="2" t="str">
        <f>Assessment!P15</f>
        <v/>
      </c>
      <c r="E15" s="2" t="s">
        <v>176</v>
      </c>
      <c r="F15" s="2" t="s">
        <v>269</v>
      </c>
      <c r="G15" s="2" t="str">
        <f t="shared" si="0"/>
        <v/>
      </c>
      <c r="H15" s="2"/>
      <c r="I15" s="2" t="s">
        <v>210</v>
      </c>
      <c r="J15" s="2"/>
    </row>
    <row r="16" spans="1:10" ht="80.099999999999994" customHeight="1" x14ac:dyDescent="0.3">
      <c r="A16" s="2" t="s">
        <v>154</v>
      </c>
      <c r="B16" s="2" t="s">
        <v>177</v>
      </c>
      <c r="C16" s="2" t="str">
        <f>Assessment!O16</f>
        <v/>
      </c>
      <c r="D16" s="2" t="str">
        <f>Assessment!P16</f>
        <v/>
      </c>
      <c r="E16" s="2" t="s">
        <v>187</v>
      </c>
      <c r="F16" s="2" t="s">
        <v>270</v>
      </c>
      <c r="G16" s="2" t="str">
        <f t="shared" si="0"/>
        <v/>
      </c>
      <c r="H16" s="2"/>
      <c r="I16" s="2" t="s">
        <v>210</v>
      </c>
      <c r="J16" s="2"/>
    </row>
    <row r="17" spans="1:10" ht="80.099999999999994" customHeight="1" x14ac:dyDescent="0.3">
      <c r="A17" s="2" t="s">
        <v>154</v>
      </c>
      <c r="B17" s="2" t="s">
        <v>188</v>
      </c>
      <c r="C17" s="2" t="str">
        <f>Assessment!O17</f>
        <v/>
      </c>
      <c r="D17" s="2" t="str">
        <f>Assessment!P17</f>
        <v/>
      </c>
      <c r="E17" s="2" t="s">
        <v>198</v>
      </c>
      <c r="F17" s="2" t="s">
        <v>271</v>
      </c>
      <c r="G17" s="2" t="str">
        <f t="shared" si="0"/>
        <v/>
      </c>
      <c r="H17" s="2"/>
      <c r="I17" s="2" t="s">
        <v>210</v>
      </c>
      <c r="J17" s="2"/>
    </row>
  </sheetData>
  <autoFilter ref="A1:J17" xr:uid="{00000000-0009-0000-0000-000003000000}"/>
  <dataValidations count="1">
    <dataValidation type="list" allowBlank="1" sqref="I2:I17" xr:uid="{00000000-0002-0000-0300-000000000000}">
      <formula1>"No iniciado,En curso,Completado,En pausa"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35" customWidth="1"/>
    <col min="2" max="2" width="48" customWidth="1"/>
    <col min="3" max="3" width="60" customWidth="1"/>
    <col min="4" max="4" width="70" customWidth="1"/>
    <col min="5" max="5" width="35" customWidth="1"/>
  </cols>
  <sheetData>
    <row r="1" spans="1:5" ht="30" customHeight="1" x14ac:dyDescent="0.3">
      <c r="A1" s="1" t="s">
        <v>0</v>
      </c>
      <c r="B1" s="1" t="s">
        <v>1</v>
      </c>
      <c r="C1" s="1" t="s">
        <v>8</v>
      </c>
      <c r="D1" s="1" t="s">
        <v>211</v>
      </c>
      <c r="E1" s="1" t="s">
        <v>212</v>
      </c>
    </row>
    <row r="2" spans="1:5" ht="80.099999999999994" customHeight="1" x14ac:dyDescent="0.3">
      <c r="A2" s="2" t="s">
        <v>20</v>
      </c>
      <c r="B2" s="2" t="s">
        <v>21</v>
      </c>
      <c r="C2" s="2" t="s">
        <v>258</v>
      </c>
      <c r="D2" s="2" t="s">
        <v>27</v>
      </c>
      <c r="E2" s="2" t="s">
        <v>213</v>
      </c>
    </row>
    <row r="3" spans="1:5" ht="80.099999999999994" customHeight="1" x14ac:dyDescent="0.3">
      <c r="A3" s="2" t="s">
        <v>20</v>
      </c>
      <c r="B3" s="2" t="s">
        <v>32</v>
      </c>
      <c r="C3" s="2" t="s">
        <v>258</v>
      </c>
      <c r="D3" s="2" t="s">
        <v>38</v>
      </c>
      <c r="E3" s="2" t="s">
        <v>213</v>
      </c>
    </row>
    <row r="4" spans="1:5" ht="80.099999999999994" customHeight="1" x14ac:dyDescent="0.3">
      <c r="A4" s="2" t="s">
        <v>20</v>
      </c>
      <c r="B4" s="2" t="s">
        <v>42</v>
      </c>
      <c r="C4" s="2" t="s">
        <v>259</v>
      </c>
      <c r="D4" s="2" t="s">
        <v>48</v>
      </c>
      <c r="E4" s="2" t="s">
        <v>213</v>
      </c>
    </row>
    <row r="5" spans="1:5" ht="80.099999999999994" customHeight="1" x14ac:dyDescent="0.3">
      <c r="A5" s="2" t="s">
        <v>20</v>
      </c>
      <c r="B5" s="2" t="s">
        <v>53</v>
      </c>
      <c r="C5" s="2" t="s">
        <v>260</v>
      </c>
      <c r="D5" s="2" t="s">
        <v>59</v>
      </c>
      <c r="E5" s="2" t="s">
        <v>213</v>
      </c>
    </row>
    <row r="6" spans="1:5" ht="80.099999999999994" customHeight="1" x14ac:dyDescent="0.3">
      <c r="A6" s="2" t="s">
        <v>64</v>
      </c>
      <c r="B6" s="2" t="s">
        <v>65</v>
      </c>
      <c r="C6" s="2" t="s">
        <v>261</v>
      </c>
      <c r="D6" s="2" t="s">
        <v>71</v>
      </c>
      <c r="E6" s="2" t="s">
        <v>213</v>
      </c>
    </row>
    <row r="7" spans="1:5" ht="80.099999999999994" customHeight="1" x14ac:dyDescent="0.3">
      <c r="A7" s="2" t="s">
        <v>64</v>
      </c>
      <c r="B7" s="2" t="s">
        <v>76</v>
      </c>
      <c r="C7" s="2" t="s">
        <v>262</v>
      </c>
      <c r="D7" s="2" t="s">
        <v>82</v>
      </c>
      <c r="E7" s="2" t="s">
        <v>213</v>
      </c>
    </row>
    <row r="8" spans="1:5" ht="80.099999999999994" customHeight="1" x14ac:dyDescent="0.3">
      <c r="A8" s="2" t="s">
        <v>64</v>
      </c>
      <c r="B8" s="2" t="s">
        <v>87</v>
      </c>
      <c r="C8" s="2" t="s">
        <v>263</v>
      </c>
      <c r="D8" s="2" t="s">
        <v>93</v>
      </c>
      <c r="E8" s="2" t="s">
        <v>213</v>
      </c>
    </row>
    <row r="9" spans="1:5" ht="80.099999999999994" customHeight="1" x14ac:dyDescent="0.3">
      <c r="A9" s="2" t="s">
        <v>64</v>
      </c>
      <c r="B9" s="2" t="s">
        <v>98</v>
      </c>
      <c r="C9" s="2" t="s">
        <v>264</v>
      </c>
      <c r="D9" s="2" t="s">
        <v>104</v>
      </c>
      <c r="E9" s="2" t="s">
        <v>213</v>
      </c>
    </row>
    <row r="10" spans="1:5" ht="80.099999999999994" customHeight="1" x14ac:dyDescent="0.3">
      <c r="A10" s="2" t="s">
        <v>109</v>
      </c>
      <c r="B10" s="2" t="s">
        <v>110</v>
      </c>
      <c r="C10" s="2" t="s">
        <v>117</v>
      </c>
      <c r="D10" s="2" t="s">
        <v>116</v>
      </c>
      <c r="E10" s="2" t="s">
        <v>213</v>
      </c>
    </row>
    <row r="11" spans="1:5" ht="80.099999999999994" customHeight="1" x14ac:dyDescent="0.3">
      <c r="A11" s="2" t="s">
        <v>109</v>
      </c>
      <c r="B11" s="2" t="s">
        <v>121</v>
      </c>
      <c r="C11" s="2" t="s">
        <v>265</v>
      </c>
      <c r="D11" s="2" t="s">
        <v>127</v>
      </c>
      <c r="E11" s="2" t="s">
        <v>213</v>
      </c>
    </row>
    <row r="12" spans="1:5" ht="80.099999999999994" customHeight="1" x14ac:dyDescent="0.3">
      <c r="A12" s="2" t="s">
        <v>109</v>
      </c>
      <c r="B12" s="2" t="s">
        <v>132</v>
      </c>
      <c r="C12" s="2" t="s">
        <v>266</v>
      </c>
      <c r="D12" s="2" t="s">
        <v>138</v>
      </c>
      <c r="E12" s="2" t="s">
        <v>213</v>
      </c>
    </row>
    <row r="13" spans="1:5" ht="80.099999999999994" customHeight="1" x14ac:dyDescent="0.3">
      <c r="A13" s="2" t="s">
        <v>109</v>
      </c>
      <c r="B13" s="2" t="s">
        <v>143</v>
      </c>
      <c r="C13" s="2" t="s">
        <v>267</v>
      </c>
      <c r="D13" s="2" t="s">
        <v>149</v>
      </c>
      <c r="E13" s="2" t="s">
        <v>213</v>
      </c>
    </row>
    <row r="14" spans="1:5" ht="80.099999999999994" customHeight="1" x14ac:dyDescent="0.3">
      <c r="A14" s="2" t="s">
        <v>154</v>
      </c>
      <c r="B14" s="2" t="s">
        <v>155</v>
      </c>
      <c r="C14" s="2" t="s">
        <v>268</v>
      </c>
      <c r="D14" s="2" t="s">
        <v>161</v>
      </c>
      <c r="E14" s="2" t="s">
        <v>213</v>
      </c>
    </row>
    <row r="15" spans="1:5" ht="80.099999999999994" customHeight="1" x14ac:dyDescent="0.3">
      <c r="A15" s="2" t="s">
        <v>154</v>
      </c>
      <c r="B15" s="2" t="s">
        <v>166</v>
      </c>
      <c r="C15" s="2" t="s">
        <v>269</v>
      </c>
      <c r="D15" s="2" t="s">
        <v>172</v>
      </c>
      <c r="E15" s="2" t="s">
        <v>213</v>
      </c>
    </row>
    <row r="16" spans="1:5" ht="80.099999999999994" customHeight="1" x14ac:dyDescent="0.3">
      <c r="A16" s="2" t="s">
        <v>154</v>
      </c>
      <c r="B16" s="2" t="s">
        <v>177</v>
      </c>
      <c r="C16" s="2" t="s">
        <v>270</v>
      </c>
      <c r="D16" s="2" t="s">
        <v>183</v>
      </c>
      <c r="E16" s="2" t="s">
        <v>213</v>
      </c>
    </row>
    <row r="17" spans="1:5" ht="80.099999999999994" customHeight="1" x14ac:dyDescent="0.3">
      <c r="A17" s="2" t="s">
        <v>154</v>
      </c>
      <c r="B17" s="2" t="s">
        <v>188</v>
      </c>
      <c r="C17" s="2" t="s">
        <v>271</v>
      </c>
      <c r="D17" s="2" t="s">
        <v>194</v>
      </c>
      <c r="E17" s="2" t="s">
        <v>213</v>
      </c>
    </row>
  </sheetData>
  <autoFilter ref="A1:E1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>
      <selection activeCell="B22" sqref="B22"/>
    </sheetView>
  </sheetViews>
  <sheetFormatPr defaultRowHeight="14.4" x14ac:dyDescent="0.3"/>
  <cols>
    <col min="1" max="1" width="28" customWidth="1"/>
    <col min="2" max="2" width="90" customWidth="1"/>
  </cols>
  <sheetData>
    <row r="1" spans="1:2" ht="30" customHeight="1" x14ac:dyDescent="0.3">
      <c r="A1" s="5" t="s">
        <v>214</v>
      </c>
      <c r="B1" s="5"/>
    </row>
    <row r="2" spans="1:2" ht="30" customHeight="1" x14ac:dyDescent="0.3">
      <c r="A2" s="6" t="s">
        <v>215</v>
      </c>
      <c r="B2" s="6"/>
    </row>
    <row r="3" spans="1:2" ht="30" customHeight="1" x14ac:dyDescent="0.3">
      <c r="A3" s="2" t="s">
        <v>3</v>
      </c>
      <c r="B3" s="2" t="s">
        <v>216</v>
      </c>
    </row>
    <row r="4" spans="1:2" ht="30" customHeight="1" x14ac:dyDescent="0.3">
      <c r="A4" s="2" t="s">
        <v>4</v>
      </c>
      <c r="B4" s="2" t="s">
        <v>217</v>
      </c>
    </row>
    <row r="5" spans="1:2" ht="30" customHeight="1" x14ac:dyDescent="0.3">
      <c r="A5" s="2" t="s">
        <v>5</v>
      </c>
      <c r="B5" s="2" t="s">
        <v>218</v>
      </c>
    </row>
    <row r="6" spans="1:2" ht="30" customHeight="1" x14ac:dyDescent="0.3">
      <c r="A6" s="2" t="s">
        <v>6</v>
      </c>
      <c r="B6" s="2" t="s">
        <v>219</v>
      </c>
    </row>
    <row r="7" spans="1:2" ht="30" customHeight="1" x14ac:dyDescent="0.3">
      <c r="A7" s="2" t="s">
        <v>220</v>
      </c>
      <c r="B7" s="2" t="s">
        <v>221</v>
      </c>
    </row>
    <row r="8" spans="1:2" ht="30" customHeight="1" x14ac:dyDescent="0.3">
      <c r="A8" s="2"/>
      <c r="B8" s="2"/>
    </row>
    <row r="9" spans="1:2" ht="30" customHeight="1" x14ac:dyDescent="0.3">
      <c r="A9" s="6" t="s">
        <v>222</v>
      </c>
      <c r="B9" s="6"/>
    </row>
    <row r="10" spans="1:2" ht="30" customHeight="1" x14ac:dyDescent="0.3">
      <c r="A10" s="2" t="s">
        <v>3</v>
      </c>
      <c r="B10" s="2" t="s">
        <v>223</v>
      </c>
    </row>
    <row r="11" spans="1:2" ht="30" customHeight="1" x14ac:dyDescent="0.3">
      <c r="A11" s="2" t="s">
        <v>4</v>
      </c>
      <c r="B11" s="2" t="s">
        <v>224</v>
      </c>
    </row>
    <row r="12" spans="1:2" ht="30" customHeight="1" x14ac:dyDescent="0.3">
      <c r="A12" s="2" t="s">
        <v>5</v>
      </c>
      <c r="B12" s="2" t="s">
        <v>225</v>
      </c>
    </row>
    <row r="13" spans="1:2" ht="30" customHeight="1" x14ac:dyDescent="0.3">
      <c r="A13" s="2" t="s">
        <v>6</v>
      </c>
      <c r="B13" s="2" t="s">
        <v>226</v>
      </c>
    </row>
    <row r="14" spans="1:2" ht="30" customHeight="1" x14ac:dyDescent="0.3">
      <c r="A14" s="2" t="s">
        <v>220</v>
      </c>
      <c r="B14" s="2" t="s">
        <v>227</v>
      </c>
    </row>
    <row r="15" spans="1:2" ht="30" customHeight="1" x14ac:dyDescent="0.3">
      <c r="A15" s="2"/>
      <c r="B15" s="2"/>
    </row>
    <row r="16" spans="1:2" ht="30" customHeight="1" x14ac:dyDescent="0.3">
      <c r="A16" s="6" t="s">
        <v>228</v>
      </c>
      <c r="B16" s="6"/>
    </row>
    <row r="17" spans="1:2" ht="30" customHeight="1" x14ac:dyDescent="0.3">
      <c r="A17" s="2" t="s">
        <v>3</v>
      </c>
      <c r="B17" s="2" t="s">
        <v>229</v>
      </c>
    </row>
    <row r="18" spans="1:2" ht="30" customHeight="1" x14ac:dyDescent="0.3">
      <c r="A18" s="2" t="s">
        <v>4</v>
      </c>
      <c r="B18" s="2" t="s">
        <v>230</v>
      </c>
    </row>
    <row r="19" spans="1:2" ht="30" customHeight="1" x14ac:dyDescent="0.3">
      <c r="A19" s="2" t="s">
        <v>5</v>
      </c>
      <c r="B19" s="2" t="s">
        <v>231</v>
      </c>
    </row>
    <row r="20" spans="1:2" ht="30" customHeight="1" x14ac:dyDescent="0.3">
      <c r="A20" s="2" t="s">
        <v>6</v>
      </c>
      <c r="B20" s="2" t="s">
        <v>232</v>
      </c>
    </row>
    <row r="21" spans="1:2" ht="30" customHeight="1" x14ac:dyDescent="0.3">
      <c r="A21" s="2" t="s">
        <v>220</v>
      </c>
      <c r="B21" s="2" t="s">
        <v>233</v>
      </c>
    </row>
    <row r="22" spans="1:2" ht="30" customHeight="1" x14ac:dyDescent="0.3">
      <c r="A22" s="2"/>
      <c r="B22" s="2"/>
    </row>
    <row r="23" spans="1:2" ht="30" customHeight="1" x14ac:dyDescent="0.3">
      <c r="A23" s="6" t="s">
        <v>234</v>
      </c>
      <c r="B23" s="6"/>
    </row>
    <row r="24" spans="1:2" ht="30" customHeight="1" x14ac:dyDescent="0.3">
      <c r="A24" s="2" t="s">
        <v>235</v>
      </c>
      <c r="B24" s="2" t="s">
        <v>236</v>
      </c>
    </row>
    <row r="25" spans="1:2" ht="30" customHeight="1" x14ac:dyDescent="0.3">
      <c r="A25" s="2" t="s">
        <v>237</v>
      </c>
      <c r="B25" s="2" t="s">
        <v>238</v>
      </c>
    </row>
    <row r="26" spans="1:2" ht="30" customHeight="1" x14ac:dyDescent="0.3">
      <c r="A26" s="2" t="s">
        <v>239</v>
      </c>
      <c r="B26" s="2" t="s">
        <v>240</v>
      </c>
    </row>
    <row r="27" spans="1:2" ht="30" customHeight="1" x14ac:dyDescent="0.3">
      <c r="A27" s="2" t="s">
        <v>241</v>
      </c>
      <c r="B27" s="2" t="s">
        <v>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5B1A-C152-4C62-AAD7-D41CD965A3A5}">
  <dimension ref="A1:A15"/>
  <sheetViews>
    <sheetView workbookViewId="0"/>
  </sheetViews>
  <sheetFormatPr defaultRowHeight="14.4" x14ac:dyDescent="0.3"/>
  <cols>
    <col min="1" max="1" width="120" customWidth="1"/>
  </cols>
  <sheetData>
    <row r="1" spans="1:1" ht="18" customHeight="1" x14ac:dyDescent="0.3">
      <c r="A1" s="7" t="s">
        <v>243</v>
      </c>
    </row>
    <row r="2" spans="1:1" x14ac:dyDescent="0.3">
      <c r="A2" s="8" t="s">
        <v>244</v>
      </c>
    </row>
    <row r="3" spans="1:1" x14ac:dyDescent="0.3">
      <c r="A3" s="8" t="s">
        <v>245</v>
      </c>
    </row>
    <row r="4" spans="1:1" x14ac:dyDescent="0.3">
      <c r="A4" s="8" t="s">
        <v>246</v>
      </c>
    </row>
    <row r="5" spans="1:1" x14ac:dyDescent="0.3">
      <c r="A5" s="8" t="s">
        <v>247</v>
      </c>
    </row>
    <row r="6" spans="1:1" x14ac:dyDescent="0.3">
      <c r="A6" s="8" t="s">
        <v>248</v>
      </c>
    </row>
    <row r="7" spans="1:1" x14ac:dyDescent="0.3">
      <c r="A7" s="8" t="s">
        <v>249</v>
      </c>
    </row>
    <row r="8" spans="1:1" x14ac:dyDescent="0.3">
      <c r="A8" s="8" t="s">
        <v>250</v>
      </c>
    </row>
    <row r="9" spans="1:1" x14ac:dyDescent="0.3">
      <c r="A9" s="8" t="s">
        <v>251</v>
      </c>
    </row>
    <row r="10" spans="1:1" x14ac:dyDescent="0.3">
      <c r="A10" s="8" t="s">
        <v>252</v>
      </c>
    </row>
    <row r="11" spans="1:1" x14ac:dyDescent="0.3">
      <c r="A11" s="8" t="s">
        <v>253</v>
      </c>
    </row>
    <row r="12" spans="1:1" x14ac:dyDescent="0.3">
      <c r="A12" s="8" t="s">
        <v>254</v>
      </c>
    </row>
    <row r="13" spans="1:1" x14ac:dyDescent="0.3">
      <c r="A13" s="8" t="s">
        <v>255</v>
      </c>
    </row>
    <row r="14" spans="1:1" x14ac:dyDescent="0.3">
      <c r="A14" s="8" t="s">
        <v>256</v>
      </c>
    </row>
    <row r="15" spans="1:1" x14ac:dyDescent="0.3">
      <c r="A15" s="8" t="s">
        <v>257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6FA29F310CEA4A92E7055778740EF9" ma:contentTypeVersion="3" ma:contentTypeDescription="Create a new document." ma:contentTypeScope="" ma:versionID="a017abb239fb9c037b5dc0682d70dc57">
  <xsd:schema xmlns:xsd="http://www.w3.org/2001/XMLSchema" xmlns:xs="http://www.w3.org/2001/XMLSchema" xmlns:p="http://schemas.microsoft.com/office/2006/metadata/properties" xmlns:ns2="da3482d0-81c1-4135-8399-90eebe419dbb" targetNamespace="http://schemas.microsoft.com/office/2006/metadata/properties" ma:root="true" ma:fieldsID="d1966c78adab71b0c18f335b24e3dfb8" ns2:_="">
    <xsd:import namespace="da3482d0-81c1-4135-8399-90eebe419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482d0-81c1-4135-8399-90eebe419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27981E-55D8-49C9-90D2-C273060C5285}">
  <ds:schemaRefs>
    <ds:schemaRef ds:uri="http://purl.org/dc/elements/1.1/"/>
    <ds:schemaRef ds:uri="http://purl.org/dc/terms/"/>
    <ds:schemaRef ds:uri="da3482d0-81c1-4135-8399-90eebe419dbb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D6AE6B7-F407-4DF2-9E08-293C93BC58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445CA1-5BA3-4386-B3E8-F78981A12021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Assessment</vt:lpstr>
      <vt:lpstr>Resumen</vt:lpstr>
      <vt:lpstr>Heatmap</vt:lpstr>
      <vt:lpstr>Roadmap</vt:lpstr>
      <vt:lpstr>AI Overlay</vt:lpstr>
      <vt:lpstr>Guias scoring</vt:lpstr>
      <vt:lpstr>Instrucciones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2026-07-06T14:20:17Z</dcterms:created>
  <dcterms:modified xsi:type="dcterms:W3CDTF">2026-07-06T14:53:12Z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0x010100216FA29F310CEA4A92E7055778740EF9</vt:lpwstr>
  </property>
</Properties>
</file>