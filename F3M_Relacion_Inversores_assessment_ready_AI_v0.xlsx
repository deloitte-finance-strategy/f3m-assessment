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myresources.deloitte.com/personal/jcolomerflores_deloitte_es/Documents/00 FINANCE STRATEGY/01 PROYECTO F3M/Relacion con inversores/"/>
    </mc:Choice>
  </mc:AlternateContent>
  <xr:revisionPtr revIDLastSave="0" documentId="8_{1BE7A026-2F31-46C7-A596-2F4FD72463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ssessment" sheetId="1" r:id="rId1"/>
    <sheet name="Resumen" sheetId="2" r:id="rId2"/>
    <sheet name="Heatmap" sheetId="3" r:id="rId3"/>
    <sheet name="Roadmap" sheetId="4" r:id="rId4"/>
    <sheet name="AI Overlay" sheetId="5" r:id="rId5"/>
    <sheet name="Guias scoring" sheetId="6" r:id="rId6"/>
    <sheet name="Instrucciones" sheetId="7" r:id="rId7"/>
  </sheets>
  <definedNames>
    <definedName name="_xlnm._FilterDatabase" localSheetId="4" hidden="1">'AI Overlay'!$A$1:$E$13</definedName>
    <definedName name="_xlnm._FilterDatabase" localSheetId="0" hidden="1">Assessment!$A$1:$T$13</definedName>
    <definedName name="_xlnm._FilterDatabase" localSheetId="2" hidden="1">Heatmap!$A$1:$H$13</definedName>
    <definedName name="_xlnm._FilterDatabase" localSheetId="3" hidden="1">Roadmap!$A$1:$J$13</definedName>
  </definedNames>
  <calcPr calcId="191029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3" l="1"/>
  <c r="D13" i="3"/>
  <c r="C13" i="3"/>
  <c r="E12" i="3"/>
  <c r="D12" i="3"/>
  <c r="C12" i="3"/>
  <c r="E11" i="3"/>
  <c r="D11" i="3"/>
  <c r="C11" i="3"/>
  <c r="E10" i="3"/>
  <c r="D10" i="3"/>
  <c r="C10" i="3"/>
  <c r="E9" i="3"/>
  <c r="D9" i="3"/>
  <c r="C9" i="3"/>
  <c r="E8" i="3"/>
  <c r="D8" i="3"/>
  <c r="C8" i="3"/>
  <c r="E7" i="3"/>
  <c r="D7" i="3"/>
  <c r="C7" i="3"/>
  <c r="E6" i="3"/>
  <c r="D6" i="3"/>
  <c r="C6" i="3"/>
  <c r="E5" i="3"/>
  <c r="D5" i="3"/>
  <c r="C5" i="3"/>
  <c r="F4" i="3"/>
  <c r="E4" i="3"/>
  <c r="D4" i="3"/>
  <c r="C4" i="3"/>
  <c r="E3" i="3"/>
  <c r="D3" i="3"/>
  <c r="C3" i="3"/>
  <c r="E2" i="3"/>
  <c r="D2" i="3"/>
  <c r="C2" i="3"/>
  <c r="D4" i="2"/>
  <c r="C4" i="2"/>
  <c r="B4" i="2"/>
  <c r="E4" i="2" s="1"/>
  <c r="F4" i="2" s="1"/>
  <c r="G4" i="2" s="1"/>
  <c r="D3" i="2"/>
  <c r="C3" i="2"/>
  <c r="B3" i="2"/>
  <c r="E3" i="2" s="1"/>
  <c r="F3" i="2" s="1"/>
  <c r="G3" i="2" s="1"/>
  <c r="D2" i="2"/>
  <c r="D5" i="2" s="1"/>
  <c r="C2" i="2"/>
  <c r="C5" i="2" s="1"/>
  <c r="B2" i="2"/>
  <c r="E2" i="2" s="1"/>
  <c r="M13" i="1"/>
  <c r="O13" i="1" s="1"/>
  <c r="M12" i="1"/>
  <c r="O12" i="1" s="1"/>
  <c r="M11" i="1"/>
  <c r="F11" i="3" s="1"/>
  <c r="M10" i="1"/>
  <c r="F10" i="3" s="1"/>
  <c r="M9" i="1"/>
  <c r="O9" i="1" s="1"/>
  <c r="M8" i="1"/>
  <c r="O8" i="1" s="1"/>
  <c r="M7" i="1"/>
  <c r="F7" i="3" s="1"/>
  <c r="M6" i="1"/>
  <c r="F6" i="3" s="1"/>
  <c r="M5" i="1"/>
  <c r="O5" i="1" s="1"/>
  <c r="M4" i="1"/>
  <c r="O4" i="1" s="1"/>
  <c r="M3" i="1"/>
  <c r="F3" i="3" s="1"/>
  <c r="M2" i="1"/>
  <c r="F2" i="3" s="1"/>
  <c r="F12" i="3" l="1"/>
  <c r="F8" i="3"/>
  <c r="P8" i="1"/>
  <c r="C8" i="4"/>
  <c r="G8" i="4" s="1"/>
  <c r="G8" i="3"/>
  <c r="P9" i="1"/>
  <c r="G9" i="3"/>
  <c r="C9" i="4"/>
  <c r="G9" i="4" s="1"/>
  <c r="P4" i="1"/>
  <c r="C4" i="4"/>
  <c r="G4" i="4" s="1"/>
  <c r="G4" i="3"/>
  <c r="P5" i="1"/>
  <c r="G5" i="3"/>
  <c r="C5" i="4"/>
  <c r="G5" i="4" s="1"/>
  <c r="P13" i="1"/>
  <c r="G13" i="3"/>
  <c r="C13" i="4"/>
  <c r="G13" i="4" s="1"/>
  <c r="P12" i="1"/>
  <c r="C12" i="4"/>
  <c r="G12" i="4" s="1"/>
  <c r="G12" i="3"/>
  <c r="E5" i="2"/>
  <c r="F5" i="2" s="1"/>
  <c r="G5" i="2" s="1"/>
  <c r="F2" i="2"/>
  <c r="G2" i="2" s="1"/>
  <c r="N3" i="1"/>
  <c r="N5" i="1"/>
  <c r="N7" i="1"/>
  <c r="N9" i="1"/>
  <c r="N11" i="1"/>
  <c r="N13" i="1"/>
  <c r="F5" i="3"/>
  <c r="F9" i="3"/>
  <c r="F13" i="3"/>
  <c r="O3" i="1"/>
  <c r="O7" i="1"/>
  <c r="O11" i="1"/>
  <c r="N2" i="1"/>
  <c r="N4" i="1"/>
  <c r="N6" i="1"/>
  <c r="N8" i="1"/>
  <c r="N10" i="1"/>
  <c r="N12" i="1"/>
  <c r="O2" i="1"/>
  <c r="O6" i="1"/>
  <c r="O10" i="1"/>
  <c r="B5" i="2"/>
  <c r="P6" i="1" l="1"/>
  <c r="G6" i="3"/>
  <c r="C6" i="4"/>
  <c r="G6" i="4" s="1"/>
  <c r="P2" i="1"/>
  <c r="G2" i="3"/>
  <c r="C2" i="4"/>
  <c r="G2" i="4" s="1"/>
  <c r="G7" i="3"/>
  <c r="C7" i="4"/>
  <c r="G7" i="4" s="1"/>
  <c r="P7" i="1"/>
  <c r="D4" i="4"/>
  <c r="H4" i="3"/>
  <c r="C3" i="4"/>
  <c r="G3" i="4" s="1"/>
  <c r="G3" i="3"/>
  <c r="P3" i="1"/>
  <c r="H9" i="3"/>
  <c r="D9" i="4"/>
  <c r="C11" i="4"/>
  <c r="G11" i="4" s="1"/>
  <c r="G11" i="3"/>
  <c r="P11" i="1"/>
  <c r="D12" i="4"/>
  <c r="H12" i="3"/>
  <c r="H13" i="3"/>
  <c r="D13" i="4"/>
  <c r="D5" i="4"/>
  <c r="H5" i="3"/>
  <c r="P10" i="1"/>
  <c r="G10" i="3"/>
  <c r="C10" i="4"/>
  <c r="G10" i="4" s="1"/>
  <c r="D8" i="4"/>
  <c r="H8" i="3"/>
  <c r="H3" i="3" l="1"/>
  <c r="D3" i="4"/>
  <c r="D2" i="4"/>
  <c r="H2" i="3"/>
  <c r="H11" i="3"/>
  <c r="D11" i="4"/>
  <c r="D10" i="4"/>
  <c r="H10" i="3"/>
  <c r="H7" i="3"/>
  <c r="D7" i="4"/>
  <c r="D6" i="4"/>
  <c r="H6" i="3"/>
</calcChain>
</file>

<file path=xl/sharedStrings.xml><?xml version="1.0" encoding="utf-8"?>
<sst xmlns="http://schemas.openxmlformats.org/spreadsheetml/2006/main" count="396" uniqueCount="222">
  <si>
    <t>Capacidad</t>
  </si>
  <si>
    <t>Subcapacidad</t>
  </si>
  <si>
    <t>Objetivo de evaluación</t>
  </si>
  <si>
    <t>Nivel 1 - Inicial</t>
  </si>
  <si>
    <t>Nivel 2 - Estructurado</t>
  </si>
  <si>
    <t>Nivel 3 - Estandarizado</t>
  </si>
  <si>
    <t>Nivel 4 - Optimizado</t>
  </si>
  <si>
    <t>Nivel 5 - Avanzado/Referente</t>
  </si>
  <si>
    <t>Casos de uso AI asociados</t>
  </si>
  <si>
    <t>Score Procesos</t>
  </si>
  <si>
    <t>Score Tecnología</t>
  </si>
  <si>
    <t>Score Organización</t>
  </si>
  <si>
    <t>Score Medio</t>
  </si>
  <si>
    <t>Nivel resultante</t>
  </si>
  <si>
    <t>Gap vs objetivo</t>
  </si>
  <si>
    <t>Prioridad</t>
  </si>
  <si>
    <t>Preguntas clave</t>
  </si>
  <si>
    <t>Evidencias</t>
  </si>
  <si>
    <t>Iniciativa sugerida</t>
  </si>
  <si>
    <t>Comentarios / hallazgos</t>
  </si>
  <si>
    <t>Regulación y gobernanza</t>
  </si>
  <si>
    <t>1.1 Gobierno de reporting regulatorio e información al mercado</t>
  </si>
  <si>
    <t>Evaluar si existe un modelo de gobierno para preparar, revisar, aprobar y publicar información regulatoria y financiera dirigida al mercado.</t>
  </si>
  <si>
    <t>Reporting regulatorio gestionado de forma reactiva, manual y dependiente de personas clave, con trazabilidad limitada de aprobaciones.</t>
  </si>
  <si>
    <t>Calendario y responsables básicos definidos, aunque con variabilidad en revisiones, documentación y coordinación entre áreas.</t>
  </si>
  <si>
    <t>Modelo de gobierno documentado con calendario, roles, controles, fuentes, aprobaciones y responsables por tipo de comunicación o filing.</t>
  </si>
  <si>
    <t>Gobierno integrado con Finanzas, Legal, Compliance, Comunicación, Secretaría General y Dirección, con workflow, evidencias y control de versiones.</t>
  </si>
  <si>
    <t>Informes regulatorios basados en IA, con generación asistida de borradores, validación de consistencia, alertas regulatorias y trazabilidad completa de la revisión humana.</t>
  </si>
  <si>
    <t>Generación de borradores de informes regulatorios; Generación de borradores de secciones de 10Q / 10K; Consolidación de informes financieros en un único informe conforme a normativa</t>
  </si>
  <si>
    <t>¿Existe calendario formal de reporting regulatorio?
¿Están definidos roles y aprobaciones?
¿Se controla versión y evidencia?
¿Se coordina con Finanzas, Legal y Compliance?</t>
  </si>
  <si>
    <t>Calendario regulatorio; matriz RACI; filings; aprobaciones; evidencias de revisión; control de versiones; actas de comité.</t>
  </si>
  <si>
    <t>Diseñar modelo de gobierno de la información regulatoria con calendario, RACI, flujo de revisión, control de versiones y evidencias de aprobación.</t>
  </si>
  <si>
    <t>1.2 Monitorización normativa y cumplimiento de obligaciones de mercado</t>
  </si>
  <si>
    <t>Evaluar si la organización monitoriza cambios normativos, obligaciones de mercado y requerimientos aplicables a emisores/inversores.</t>
  </si>
  <si>
    <t>Monitorización normativa puntual y manual, con baja trazabilidad de obligaciones, cambios e impactos en procesos o comunicaciones.</t>
  </si>
  <si>
    <t>Seguimiento básico de cambios relevantes, aunque con análisis de impacto y actualización de obligaciones no siempre sistemáticos.</t>
  </si>
  <si>
    <t>Proceso estructurado de regulatory tracking con fuentes, responsables, matriz de obligaciones, análisis de impacto y actualización periódica.</t>
  </si>
  <si>
    <t>Monitorización integrada con Legal, Compliance, RI y Finanzas, con alertas, owners, workflow de evaluación y reporting a governance.</t>
  </si>
  <si>
    <t>IA monitoriza regulación global, sintetiza cambios, evalúa impacto preliminar y recomienda acciones de cumplimiento o comunicación.</t>
  </si>
  <si>
    <t>Monitorización de la regulación emergente y evaluación del cumplimiento actual; Seguimiento de políticas globales; Resumen de documentos legislativos</t>
  </si>
  <si>
    <t>¿Se monitorizan cambios regulatorios?
¿Existe matriz de obligaciones?
¿Se evalúa impacto en reporting y comunicación?
¿Hay owners de remediación?</t>
  </si>
  <si>
    <t>Matriz de obligaciones; alertas regulatorias; análisis de impacto; actas de seguimiento; políticas actualizadas; evidencias de acciones.</t>
  </si>
  <si>
    <t>Implantar vigilancia regulatoria para RI con matriz de obligaciones, alertas, análisis de impacto, responsables y seguimiento de acciones.</t>
  </si>
  <si>
    <t>1.3 Gobierno de información privilegiada, consistencia y disclosure controls</t>
  </si>
  <si>
    <t>Evaluar si existen controles para asegurar consistencia, oportunidad, confidencialidad y cumplimiento en información sensible o privilegiada.</t>
  </si>
  <si>
    <t>Controles de disclosure e información privilegiada poco formalizados, con dependencia de revisiones manuales y criterios no homogéneos.</t>
  </si>
  <si>
    <t>Políticas básicas de comunicación e información sensible, aunque con controles parciales y evidencias variables.</t>
  </si>
  <si>
    <t>Modelo de disclosure controls definido con criterios de materialidad, confidencialidad, aprobación, registro y revisión documental.</t>
  </si>
  <si>
    <t>Controles integrados con calendario financiero, comités, Legal/Compliance, canales de comunicación y gestión de insiders.</t>
  </si>
  <si>
    <t>IA revisa consistencia entre comunicaciones, detecta posibles inconsistencias o riesgos de información al mercado y recomienda validaciones previas.</t>
  </si>
  <si>
    <t>Interpretación de normas y regulación financiera; Generación de borradores de informes regulatorios; Gestión de riesgos y cumplimiento regulatorio impulsados por IA</t>
  </si>
  <si>
    <t>¿Existen disclosure controls formalizados?
¿Se define materialidad y confidencialidad?
¿Se revisa consistencia entre comunicaciones?
¿Se guardan evidencias?</t>
  </si>
  <si>
    <t>Política de disclosure; insider lists; versionado; aprobaciones; actas; comunicaciones externas; checklist de revisión.</t>
  </si>
  <si>
    <t>Formalizar controles de difusión de información con criterios de materialidad, flujo de trabajo, revisión de consistencia, evidencias y gestión de información sensible.</t>
  </si>
  <si>
    <t>1.4 Coordinación con órganos de gobierno, auditoría y stakeholders internos</t>
  </si>
  <si>
    <t>Evaluar si la función de RI coordina adecuadamente información, decisiones y mensajes con órganos de gobierno y stakeholders internos clave.</t>
  </si>
  <si>
    <t>Coordinación informal con áreas internas, con baja planificación y dependencia de relaciones personales para preparar mensajes al mercado.</t>
  </si>
  <si>
    <t>Foros básicos de coordinación para eventos relevantes, aunque con agendas, decisiones y evidencias parcialmente documentadas.</t>
  </si>
  <si>
    <t>Modelo de coordinación definido con calendario, comités, roles, inputs, decisiones, mensajes clave y seguimiento de acuerdos.</t>
  </si>
  <si>
    <t>Coordinación integrada con CFO, CEO, Consejo/Comisiones, Legal, Comunicación, Auditoría y Finanzas, con trazabilidad de decisiones.</t>
  </si>
  <si>
    <t>La IA sintetiza las aportaciones internas, identifica inconsistencias, prepara notas informativas para dirección y facilita alinear los mensajes antes de las interacciones externas.</t>
  </si>
  <si>
    <t>Generación de una visión ejecutiva de la salud financiera de la compañía; FinanceAI Insights Platform; Consolidación de informes financieros en un único informe conforme a normativa</t>
  </si>
  <si>
    <t>¿Existen foros de coordinación de RI?
¿Se documentan decisiones y mensajes clave?
¿Participan áreas críticas?
¿Se trazan aprobaciones?</t>
  </si>
  <si>
    <t>Calendario de comités; actas; briefing books; versiones de mensajes; aprobaciones; inputs de áreas; documentación del Consejo.</t>
  </si>
  <si>
    <t>Crear rutina de coordinación de RI con interlocutores internos, agenda, aportaciones, decisiones, mensajes clave y trazabilidad de aprobaciones.</t>
  </si>
  <si>
    <t>Planificación y estrategia de RI</t>
  </si>
  <si>
    <t>2.1 Estrategia de relación con inversores y posicionamiento equity story</t>
  </si>
  <si>
    <t>Evaluar si existe una estrategia de RI clara, alineada con equity story, objetivos corporativos, perfil inversor y mensajes al mercado.</t>
  </si>
  <si>
    <t>Estrategia de RI implícita o reactiva, con mensajes dispersos y baja segmentación de inversores o prioridades de comunicación.</t>
  </si>
  <si>
    <t>Equity story básica y plan de comunicación anual, aunque con segmentación limitada y baja conexión con feedback del mercado.</t>
  </si>
  <si>
    <t>Estrategia de RI documentada con equity story, mensajes clave, segmentos de inversores, calendario, objetivos y KPIs.</t>
  </si>
  <si>
    <t>Estrategia integrada con plan corporativo, capital allocation, performance, ESG, feedback inversor y análisis competitivo.</t>
  </si>
  <si>
    <t>La IA analiza mercado, comentarios, preguntas de inversores y tendencias para ajustar el relato de inversión, los mensajes y las prioridades de relación.</t>
  </si>
  <si>
    <t>Asistente de contenidos de marketing; Inteligencia de mercado de nueva generación; Generación de una visión ejecutiva de la salud financiera de la compañía</t>
  </si>
  <si>
    <t>¿Existe estrategia de RI documentada?
¿Está definida la equity story?
¿Se segmentan inversores?
¿Se actualizan mensajes con feedback del mercado?</t>
  </si>
  <si>
    <t>Plan RI; equity story; investor targeting; calendario; KPIs; feedback de inversores; presentaciones; análisis de percepción.</t>
  </si>
  <si>
    <t>Definir estrategia de RI con argumentario de inversión (equity story), segmentación de inversores, mensajes clave, calendario, KPIs y recogida de opiniones.</t>
  </si>
  <si>
    <t>2.2 Calendario de comunicación financiera y eventos con mercado</t>
  </si>
  <si>
    <t>Evaluar si la función de RI planifica y ejecuta de forma estructurada eventos, roadshows, resultados, investor days y comunicaciones recurrentes.</t>
  </si>
  <si>
    <t>Calendario de eventos gestionado de forma manual y reactiva, con preparación variable y baja trazabilidad de materiales y follow-up.</t>
  </si>
  <si>
    <t>Calendario básico de resultados y eventos principales, aunque con coordinación parcial y preparación intensiva manual.</t>
  </si>
  <si>
    <t>Calendario RI documentado con eventos, responsables, materiales, aprobaciones, audiencias, logística y acciones de seguimiento.</t>
  </si>
  <si>
    <t>Plan integrado con reporting financiero, estrategia, comunicación, agenda ejecutiva, targeting de inversores y feedback post-evento.</t>
  </si>
  <si>
    <t>IA genera notas informativas, Q&amp;A, resúmenes de comentarios, propuestas de mensajes y materiales base para eventos y comunicaciones financieras.</t>
  </si>
  <si>
    <t>Asistente de contenidos de marketing; Generación de una visión ejecutiva de la salud financiera de la compañía; Consolidación de informes financieros en un único informe conforme a normativa</t>
  </si>
  <si>
    <t>¿Existe calendario anual de RI?
¿Se preparan y aprueban materiales de forma estructurada?
¿Se registra feedback post-evento?
¿Se hace seguimiento de acciones?</t>
  </si>
  <si>
    <t>Calendario RI; earnings materials; Q&amp;A; roadshow tracker; investor day materials; feedback logs; approvals; follow-up actions.</t>
  </si>
  <si>
    <t>Implantar modelo de planificación de eventos de RI con calendario, materiales, preguntas y respuestas, aprobaciones, opiniones y seguimiento de acciones.</t>
  </si>
  <si>
    <t>2.3 Gestión de inversores, analistas y feedback del mercado</t>
  </si>
  <si>
    <t>Evaluar si RI gestiona de forma estructurada relaciones, interacciones, feedback, percepción y necesidades de inversores y analistas.</t>
  </si>
  <si>
    <t>Relación con inversores y analistas gestionada de forma individual, con registros incompletos y baja explotación del feedback.</t>
  </si>
  <si>
    <t>CRM o tracker básico de contactos e interacciones, aunque con análisis limitado de percepción, temas recurrentes o prioridades.</t>
  </si>
  <si>
    <t>Modelo de investor engagement con segmentación, registro de interacciones, feedback, temas clave, owners y seguimiento.</t>
  </si>
  <si>
    <t>Gestión integrada con targeting, mensajes, calendario, percepción del mercado, análisis de preguntas y acciones de mejora.</t>
  </si>
  <si>
    <t>IA sintetiza comentarios de inversores/analistas, identifica temas recurrentes, riesgos de percepción y recomendaciones de relación con el inversor.</t>
  </si>
  <si>
    <t>FinanceAI Insights Platform; Inteligencia más avanzada; Búsqueda y acceso a datos en toda la compañía</t>
  </si>
  <si>
    <t>¿Existe CRM/tracker de inversores?
¿Se registra feedback y preguntas?
¿Se analizan temas recurrentes?
¿Se traduce feedback en acciones o mensajes?</t>
  </si>
  <si>
    <t>CRM RI; logs de reuniones; feedback de inversores; informes de analistas; Q&amp;A; trackers de acciones; segmentación.</t>
  </si>
  <si>
    <t>Crear modelo de inteligencia de inversores con CRM, opiniones estructuradas, análisis de temas, percepción, acciones e informes a la dirección.</t>
  </si>
  <si>
    <t>2.4 Métricas de efectividad, percepción y mejora continua de RI</t>
  </si>
  <si>
    <t>Evaluar si la función de RI mide efectividad de sus actividades, percepción del mercado, calidad de comunicación y mejora continua.</t>
  </si>
  <si>
    <t>No existen KPIs estructurados de RI o se limitan a actividad realizada, sin medición de impacto o percepción.</t>
  </si>
  <si>
    <t>KPIs básicos de actividad y cobertura, aunque con análisis limitado de calidad, percepción, mensajes o outcomes.</t>
  </si>
  <si>
    <t>KPIs definidos de RI incluyendo actividad, cobertura, feedback, percepción, calidad de materiales, cumplimiento y acciones.</t>
  </si>
  <si>
    <t>Modelo integrado de performance RI con objetivos, benchmarking, percepción de mercado, análisis de analistas y mejora continua.</t>
  </si>
  <si>
    <t>IA identifica relaciones entre actividad RI, percepción de mercado, narrativa, preguntas y recomendaciones para mejorar efectividad.</t>
  </si>
  <si>
    <t>Inteligencia de mercado de nueva generación; FinanceAI Insights Platform; Generación de una visión ejecutiva de la salud financiera de la compañía</t>
  </si>
  <si>
    <t>¿Existen KPIs de RI?
¿Se mide percepción de inversores/analistas?
¿Se comparan frente a peers?
¿Se generan acciones de mejora?</t>
  </si>
  <si>
    <t>Dashboard RI; encuestas de percepción; coverage de analistas; feedback; benchmarking; KPIs de actividad; acciones de mejora.</t>
  </si>
  <si>
    <t>Implantar cuadro de mando de RI con KPIs de actividad, percepción, cobertura, opiniones, comparación con referentes y mejora continua.</t>
  </si>
  <si>
    <t>Financiación y valoración de mercados de capitales</t>
  </si>
  <si>
    <t>3.1 Análisis de valoración, múltiplos y percepción del mercado</t>
  </si>
  <si>
    <t>Evaluar si RI y Finanzas analizan valoración, múltiplos, drivers de mercado, perspectiva de analistas y comparables para orientar decisiones.</t>
  </si>
  <si>
    <t>Análisis de valoración puntual, manual y centrado en múltiplos básicos, con baja conexión con estrategia o mensajes al mercado.</t>
  </si>
  <si>
    <t>Análisis recurrente de cotización, múltiplos y peers, aunque con fuentes dispersas y explicación limitada de drivers.</t>
  </si>
  <si>
    <t>Modelo de valoración de mercado con comparables, múltiplos, consensus, drivers, sensibilidad y narrativa de implicaciones.</t>
  </si>
  <si>
    <t>Análisis integrado con equity story, capital allocation, performance, riesgos, feedback inversor y decisiones de comunicación.</t>
  </si>
  <si>
    <t>IA analiza datos financieros y de mercado, predice valoración relativa, identifica drivers y recomienda focos de comunicación o acción.</t>
  </si>
  <si>
    <t>Valoración predictiva de la compañía a partir del análisis de datos financieros; Generación de estrategias de inversión; Inteligencia de mercado de nueva generación</t>
  </si>
  <si>
    <t>¿Se analiza valoración y múltiplos frente a peers?
¿Se incorporan consensus y drivers?
¿Se conectan resultados con equity story?
¿Se explican variaciones de mercado?</t>
  </si>
  <si>
    <t>Modelo de valoración; comparables; consensus; informes de analistas; evolución de múltiplos; presentaciones; análisis de sensibilidad.</t>
  </si>
  <si>
    <t>Crear modelo de valoración y percepción de mercado con comparables, consenso de analistas, drivers, sensibilidad y recomendaciones de comunicación.</t>
  </si>
  <si>
    <t>3.2 Soporte financiero a operaciones de mercado y financiación corporativa</t>
  </si>
  <si>
    <t>Evaluar si RI aporta información y coordinación en operaciones de financiación, emisiones, recompras, ampliaciones u otras operaciones de mercado.</t>
  </si>
  <si>
    <t>Soporte de RI a operaciones de mercado puntual y reactivo, con baja coordinación entre bancos, Finanzas, Legal y Comunicación.</t>
  </si>
  <si>
    <t>Participación en operaciones relevantes, aunque con roles y entregables variables según operación.</t>
  </si>
  <si>
    <t>Modelo definido para soporte RI en operaciones de mercado con roles, mensajes, datos financieros, Q&amp;A, aprobaciones y calendario.</t>
  </si>
  <si>
    <t>Coordinación integrada con estrategia de financiación, capital markets, bancos, rating, comunicación, legal y dirección.</t>
  </si>
  <si>
    <t>IA sintetiza información financiera, mercado y riesgos, prepara materiales base y recomienda mensajes según operación y audiencia.</t>
  </si>
  <si>
    <t>Generación de estrategias de inversión; Generación de informes de investigación / KYC; Generación de una visión ejecutiva de la salud financiera de la compañía</t>
  </si>
  <si>
    <t>¿Está definido el rol de RI en operaciones de mercado?
¿Se coordinan mensajes y materiales?
¿Se preparan Q&amp;A específicos?
¿Se recopila feedback post-operación?</t>
  </si>
  <si>
    <t>Deal materials; Q&amp;A; calendario de operación; actas; feedback de bancos/inversores; approvals; documentación financiera.</t>
  </si>
  <si>
    <t>Definir guía de actuación de RI para operaciones de mercado con roles, materiales, preguntas y respuestas, aprobaciones, opiniones y coordinación con las partes implicadas.</t>
  </si>
  <si>
    <t>3.3 Gestión de consensus, guidance y expectativas del mercado</t>
  </si>
  <si>
    <t>Evaluar si la organización monitoriza y gestiona consensus, guidance, expectativas y desviaciones percibidas por el mercado.</t>
  </si>
  <si>
    <t>Consensus y expectativas se revisan de forma manual y puntual, con baja trazabilidad de supuestos y riesgos de desviación.</t>
  </si>
  <si>
    <t>Seguimiento básico de consensus y guidance para resultados, aunque con análisis limitado de drivers y sensibilidad.</t>
  </si>
  <si>
    <t>Modelo de seguimiento de consensus con analistas, supuestos, guidance, desviaciones, mensajes clave y riesgos de comunicación.</t>
  </si>
  <si>
    <t>Gestión integrada con forecast interno, planificación, performance, equity story y preparación de resultados/Q&amp;A.</t>
  </si>
  <si>
    <t>La IA compara el consenso de mercado con la previsión propia, identifica las brechas de expectativa, explica los drivers y recomienda los puntos de comunicación preventiva.</t>
  </si>
  <si>
    <t>Generación de una visión ejecutiva de la salud financiera de la compañía; FinanceAI Insights Platform; Identificación de patrones históricos para predecir y mejorar el rendimiento financiero futuro</t>
  </si>
  <si>
    <t>¿Se monitoriza consensus de analistas?
¿Se compara con forecast interno?
¿Se identifican gaps de expectativa?
¿Se preparan mensajes o Q&amp;A?</t>
  </si>
  <si>
    <t>Consensus tracker; guidance; forecast interno; informes de analistas; Q&amp;A; earnings prep; análisis de gaps.</t>
  </si>
  <si>
    <t>Implantar gestión del consenso de analistas con seguimiento por analista, comparación con la previsión, diferencias de expectativas y recomendaciones de mensajes.</t>
  </si>
  <si>
    <t>3.4 Reporting estratégico a dirección sobre mercado, inversores y capital</t>
  </si>
  <si>
    <t>Evaluar si RI proporciona a la Dirección y órganos de gobierno una visión integrada sobre mercado, valoración, inversores, analistas y opciones de capital.</t>
  </si>
  <si>
    <t>Reporting a dirección limitado o ad hoc, con información de mercado dispersa y baja conexión con decisiones estratégicas.</t>
  </si>
  <si>
    <t>Reporting periódico básico sobre cotización, analistas e inversores, aunque con análisis limitado de implicaciones.</t>
  </si>
  <si>
    <t>Pack ejecutivo RI con mercado, valoración, consensus, analistas, inversores, feedback, riesgos y recomendaciones.</t>
  </si>
  <si>
    <t>Reporting integrado con estrategia, capital allocation, financiación, comunicación, riesgos y decisiones del comité/directorio.</t>
  </si>
  <si>
    <t>IA genera panorámica ejecutiva del mercado de capitales, resume comentarios, identifica riesgos/oportunidades y recomienda acciones estratégicas.</t>
  </si>
  <si>
    <t>Generación de una visión ejecutiva de la salud financiera de la compañía; Inteligencia de mercado de nueva generación; FinanceAI Insights Platform</t>
  </si>
  <si>
    <t>¿Existe reporting RI para dirección?
¿Incluye mercado, valoración, investors y analistas?
¿Se presentan implicaciones y recomendaciones?
¿Se conectan con decisiones de capital?</t>
  </si>
  <si>
    <t>Pack ejecutivo RI; actas de comité; análisis de mercado; feedback inversor; coverage de analistas; recomendaciones; decisiones.</t>
  </si>
  <si>
    <t>Crear informe ejecutivo de RI y mercados de capitales con valoración, consenso, opiniones, riesgos, oportunidades y recomendaciones de acción.</t>
  </si>
  <si>
    <t>Score global dominio</t>
  </si>
  <si>
    <t>Procesos</t>
  </si>
  <si>
    <t>Tecnología</t>
  </si>
  <si>
    <t>Organización</t>
  </si>
  <si>
    <t>Score medio</t>
  </si>
  <si>
    <t>Gap</t>
  </si>
  <si>
    <t>Casos AI asociados</t>
  </si>
  <si>
    <t>Oleada</t>
  </si>
  <si>
    <t>Owner</t>
  </si>
  <si>
    <t>Estado</t>
  </si>
  <si>
    <t>Comentarios</t>
  </si>
  <si>
    <t>No iniciado</t>
  </si>
  <si>
    <t>Aplicación en nivel avanzado</t>
  </si>
  <si>
    <t>Fuente</t>
  </si>
  <si>
    <t>F3M_AI_Mapping_Consolidado_v1.xlsx</t>
  </si>
  <si>
    <t>GUÍAS DE SCORING F3M</t>
  </si>
  <si>
    <t>PROCESOS</t>
  </si>
  <si>
    <t>Proceso inexistente, manual o ad hoc.</t>
  </si>
  <si>
    <t>Proceso parcial, definido con variabilidad y dependencias manuales.</t>
  </si>
  <si>
    <t>Proceso documentado, homogéneo y repetible.</t>
  </si>
  <si>
    <t>Proceso medido, eficiente, con controles y mejora continua.</t>
  </si>
  <si>
    <t>Nivel 5 - Avanzado</t>
  </si>
  <si>
    <t>Proceso integrado end-to-end, orientado a decisión y habilitado por automatización/AI cuando aplique.</t>
  </si>
  <si>
    <t>TECNOLOGÍA</t>
  </si>
  <si>
    <t>Excel/manual, sin integración.</t>
  </si>
  <si>
    <t>Herramientas parciales o locales, con baja integración.</t>
  </si>
  <si>
    <t>Herramienta corporativa y reglas definidas.</t>
  </si>
  <si>
    <t>Integración end-to-end, automatización y controles tecnológicos.</t>
  </si>
  <si>
    <t>Analítica avanzada, AI/GenAI, detección predictiva, autoservicio o workflow inteligente.</t>
  </si>
  <si>
    <t>ORGANIZACIÓN</t>
  </si>
  <si>
    <t>Roles poco claros y alta dependencia de personas.</t>
  </si>
  <si>
    <t>Roles parcialmente definidos y coordinación manual.</t>
  </si>
  <si>
    <t>Roles, ownership y accountability claros.</t>
  </si>
  <si>
    <t>Organización alineada con procesos, KPIs y mejora continua.</t>
  </si>
  <si>
    <t>Equipos orientados a transparencia, mercado, estrategia, governance y generación de valor.</t>
  </si>
  <si>
    <t>REGLAS DE ORO</t>
  </si>
  <si>
    <t>1</t>
  </si>
  <si>
    <t>Puntuar el estado actual, no el objetivo.</t>
  </si>
  <si>
    <t>2</t>
  </si>
  <si>
    <t>No mezclar palancas: procesos, tecnología y organización se puntúan por separado.</t>
  </si>
  <si>
    <t>3</t>
  </si>
  <si>
    <t>Sustentar cada score con evidencias.</t>
  </si>
  <si>
    <t>4</t>
  </si>
  <si>
    <t>No sobrevalorar la tecnología si el proceso o la adopción no están maduros.</t>
  </si>
  <si>
    <t>F3M - Relación con Inversores | Assessment-ready con AI</t>
  </si>
  <si>
    <t>Uso del fichero</t>
  </si>
  <si>
    <t>1. En Assessment, puntuar cada subcapacidad en las tres palancas: Procesos, Tecnología y Organización.
2. Utilizar valores enteros de 1 a 5, donde 1 = Inicial y 5 = Avanzado/Referente.
3. El Score Medio, Nivel resultante, Gap y Prioridad se calculan automáticamente.
4. Objetivo de madurez utilizado para el gap: Nivel 4 - Optimizado.
5. Resumen consolida resultados por capacidad y gráfico ejecutivo.
6. Heatmap facilita la lectura visual por subcapacidad y palanca.
7. Roadmap convierte gaps en iniciativas sugeridas y oleadas.</t>
  </si>
  <si>
    <t>Dominio</t>
  </si>
  <si>
    <t>Relación con Inversores: Regulación y gobernanza, Planificación y estrategia de RI, Financiación y valoración de mercados de capitales.</t>
  </si>
  <si>
    <t>Escala F3M</t>
  </si>
  <si>
    <t>1 - Inicial: modelo básico, reactivo, heterogéneo y poco formalizado.
2 - Estructurado: prácticas definidas, con consistencia parcial y dependencias manuales.
3 - Estandarizado: modelo homogéneo, documentado, consistente y controlado.
4 - Optimizado: modelo integrado, medido, con mejora continua y foco en transparencia/control.
5 - Avanzado/Referente: modelo maduro, anticipativo, AI-enabled y orientado a mercado, confianza y generación de valor.</t>
  </si>
  <si>
    <t>AI Overlay</t>
  </si>
  <si>
    <t>Los casos de uso AI se han mapeado desde F3M_AI_Mapping_Consolidado_v1.xlsx. En capacidades con cobertura limitada se han usado casos por analogía funcional para reporting regulatorio, market intelligence, equity story y capital markets.</t>
  </si>
  <si>
    <t>Buenas prácticas</t>
  </si>
  <si>
    <t>Evaluar situación actual, sustentar el score con evidencias, separar las tres palancas y validar resultados con Finanzas, Legal, Comunicación, Compliance y responsables de RI.</t>
  </si>
  <si>
    <t xml:space="preserve">Borrador de informes regulatorios; Borrador de secciones 10Q y 10K; Consolidación de informes en un único documento</t>
  </si>
  <si>
    <t xml:space="preserve">Vigilancia de regulación emergente; Seguimiento de políticas y regulación global; Resumen de documentos legislativos</t>
  </si>
  <si>
    <t xml:space="preserve">Interpretación de normativa financiera; Borrador de informes regulatorios; Vigilancia continua de riesgo y cumplimiento</t>
  </si>
  <si>
    <t xml:space="preserve">Visión ejecutiva de la salud financiera; Analista digital de Finanzas bajo demanda; Consolidación de informes en un único documento</t>
  </si>
  <si>
    <t xml:space="preserve">Asistente de contenidos de comunicación; Inteligencia de mercado; Visión ejecutiva de la salud financiera</t>
  </si>
  <si>
    <t xml:space="preserve">Asistente de contenidos de comunicación; Visión ejecutiva de la salud financiera; Consolidación de informes en un único documento; Generación de contenido para el earnings call</t>
  </si>
  <si>
    <t xml:space="preserve">Analista digital de Finanzas bajo demanda; Síntesis multifuente para informes de análisis; Consulta del dato en lenguaje natural</t>
  </si>
  <si>
    <t xml:space="preserve">Inteligencia de mercado; Analista digital de Finanzas bajo demanda; Visión ejecutiva de la salud financiera</t>
  </si>
  <si>
    <t xml:space="preserve">Valoración predictiva de la compañía; Generación de estrategias de inversión; Inteligencia de mercado</t>
  </si>
  <si>
    <t xml:space="preserve">Generación de estrategias de inversión; Informes de investigación y KYC; Visión ejecutiva de la salud financiera</t>
  </si>
  <si>
    <t xml:space="preserve">Visión ejecutiva de la salud financiera; Analista digital de Finanzas bajo demanda; Patrones históricos para predecir el rendimiento</t>
  </si>
  <si>
    <t xml:space="preserve">Visión ejecutiva de la salud financiera; Inteligencia de mercado; Analista digital de Finanzas bajo demanda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</si>
</sst>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000000"/>
      <name val="Calibri"/>
    </font>
    <font>
      <b/>
      <sz val="14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4923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Score medio por capacidad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Resumen!$E$1</c:f>
              <c:strCache>
                <c:ptCount val="1"/>
                <c:pt idx="0">
                  <c:v>Score Medio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Resumen!$A$2:$A$4</c:f>
              <c:strCache>
                <c:ptCount val="3"/>
                <c:pt idx="0">
                  <c:v>Regulación y gobernanza</c:v>
                </c:pt>
                <c:pt idx="1">
                  <c:v>Planificación y estrategia de RI</c:v>
                </c:pt>
                <c:pt idx="2">
                  <c:v>Financiación y valoración de mercados de capitales</c:v>
                </c:pt>
              </c:strCache>
            </c:strRef>
          </c:cat>
          <c:val>
            <c:numRef>
              <c:f>Resumen!$E$2:$E$4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5E-4D9A-819C-D937DA0924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Capacidad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</xdr:row>
      <xdr:rowOff>0</xdr:rowOff>
    </xdr:from>
    <xdr:ext cx="50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36" customWidth="1"/>
    <col min="2" max="2" width="54" customWidth="1"/>
    <col min="3" max="7" width="58" customWidth="1"/>
    <col min="8" max="8" width="62" customWidth="1"/>
    <col min="9" max="9" width="60" customWidth="1"/>
    <col min="10" max="11" width="14" customWidth="1"/>
    <col min="12" max="12" width="16" customWidth="1"/>
    <col min="13" max="13" width="13" customWidth="1"/>
    <col min="14" max="14" width="22" customWidth="1"/>
    <col min="15" max="16" width="14" customWidth="1"/>
    <col min="17" max="17" width="46" customWidth="1"/>
    <col min="18" max="18" width="50" customWidth="1"/>
    <col min="19" max="19" width="64" customWidth="1"/>
    <col min="20" max="20" width="35" customWidth="1"/>
  </cols>
  <sheetData>
    <row r="1" spans="1:20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84.9" customHeight="1" x14ac:dyDescent="0.3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210</v>
      </c>
      <c r="J2" s="2"/>
      <c r="K2" s="2"/>
      <c r="L2" s="2"/>
      <c r="M2" s="2" t="str">
        <f t="shared" ref="M2:M13" si="0">IF(COUNT(J2:L2)=0,"",ROUND(AVERAGE(J2:L2),0))</f>
        <v/>
      </c>
      <c r="N2" s="2" t="str">
        <f t="shared" ref="N2:N13" si="1">IF(M2="","",CHOOSE(M2,"1 - Inicial","2 - Estructurado","3 - Estandarizado","4 - Optimizado","5 - Avanzado/Referente"))</f>
        <v/>
      </c>
      <c r="O2" s="2" t="str">
        <f t="shared" ref="O2:O13" si="2">IF(M2="","",MAX(0,4-M2))</f>
        <v/>
      </c>
      <c r="P2" s="2" t="str">
        <f t="shared" ref="P2:P13" si="3">IF(O2="","",IF(O2&gt;=3,"Alta",IF(O2=2,"Media",IF(O2=1,"Media","Baja"))))</f>
        <v/>
      </c>
      <c r="Q2" s="2" t="s">
        <v>29</v>
      </c>
      <c r="R2" s="2" t="s">
        <v>30</v>
      </c>
      <c r="S2" s="2" t="s">
        <v>31</v>
      </c>
      <c r="T2" s="2"/>
    </row>
    <row r="3" spans="1:20" ht="84.9" customHeight="1" x14ac:dyDescent="0.3">
      <c r="A3" s="2" t="s">
        <v>20</v>
      </c>
      <c r="B3" s="2" t="s">
        <v>32</v>
      </c>
      <c r="C3" s="2" t="s">
        <v>33</v>
      </c>
      <c r="D3" s="2" t="s">
        <v>34</v>
      </c>
      <c r="E3" s="2" t="s">
        <v>35</v>
      </c>
      <c r="F3" s="2" t="s">
        <v>36</v>
      </c>
      <c r="G3" s="2" t="s">
        <v>37</v>
      </c>
      <c r="H3" s="2" t="s">
        <v>38</v>
      </c>
      <c r="I3" s="2" t="s">
        <v>211</v>
      </c>
      <c r="J3" s="2"/>
      <c r="K3" s="2"/>
      <c r="L3" s="2"/>
      <c r="M3" s="2" t="str">
        <f t="shared" si="0"/>
        <v/>
      </c>
      <c r="N3" s="2" t="str">
        <f t="shared" si="1"/>
        <v/>
      </c>
      <c r="O3" s="2" t="str">
        <f t="shared" si="2"/>
        <v/>
      </c>
      <c r="P3" s="2" t="str">
        <f t="shared" si="3"/>
        <v/>
      </c>
      <c r="Q3" s="2" t="s">
        <v>40</v>
      </c>
      <c r="R3" s="2" t="s">
        <v>41</v>
      </c>
      <c r="S3" s="2" t="s">
        <v>42</v>
      </c>
      <c r="T3" s="2"/>
    </row>
    <row r="4" spans="1:20" ht="84.9" customHeight="1" x14ac:dyDescent="0.3">
      <c r="A4" s="2" t="s">
        <v>20</v>
      </c>
      <c r="B4" s="2" t="s">
        <v>43</v>
      </c>
      <c r="C4" s="2" t="s">
        <v>44</v>
      </c>
      <c r="D4" s="2" t="s">
        <v>45</v>
      </c>
      <c r="E4" s="2" t="s">
        <v>46</v>
      </c>
      <c r="F4" s="2" t="s">
        <v>47</v>
      </c>
      <c r="G4" s="2" t="s">
        <v>48</v>
      </c>
      <c r="H4" s="2" t="s">
        <v>49</v>
      </c>
      <c r="I4" s="2" t="s">
        <v>212</v>
      </c>
      <c r="J4" s="2"/>
      <c r="K4" s="2"/>
      <c r="L4" s="2"/>
      <c r="M4" s="2" t="str">
        <f t="shared" si="0"/>
        <v/>
      </c>
      <c r="N4" s="2" t="str">
        <f t="shared" si="1"/>
        <v/>
      </c>
      <c r="O4" s="2" t="str">
        <f t="shared" si="2"/>
        <v/>
      </c>
      <c r="P4" s="2" t="str">
        <f t="shared" si="3"/>
        <v/>
      </c>
      <c r="Q4" s="2" t="s">
        <v>51</v>
      </c>
      <c r="R4" s="2" t="s">
        <v>52</v>
      </c>
      <c r="S4" s="2" t="s">
        <v>53</v>
      </c>
      <c r="T4" s="2"/>
    </row>
    <row r="5" spans="1:20" ht="84.9" customHeight="1" x14ac:dyDescent="0.3">
      <c r="A5" s="2" t="s">
        <v>20</v>
      </c>
      <c r="B5" s="2" t="s">
        <v>54</v>
      </c>
      <c r="C5" s="2" t="s">
        <v>55</v>
      </c>
      <c r="D5" s="2" t="s">
        <v>56</v>
      </c>
      <c r="E5" s="2" t="s">
        <v>57</v>
      </c>
      <c r="F5" s="2" t="s">
        <v>58</v>
      </c>
      <c r="G5" s="2" t="s">
        <v>59</v>
      </c>
      <c r="H5" s="2" t="s">
        <v>60</v>
      </c>
      <c r="I5" s="2" t="s">
        <v>213</v>
      </c>
      <c r="J5" s="2"/>
      <c r="K5" s="2"/>
      <c r="L5" s="2"/>
      <c r="M5" s="2" t="str">
        <f t="shared" si="0"/>
        <v/>
      </c>
      <c r="N5" s="2" t="str">
        <f t="shared" si="1"/>
        <v/>
      </c>
      <c r="O5" s="2" t="str">
        <f t="shared" si="2"/>
        <v/>
      </c>
      <c r="P5" s="2" t="str">
        <f t="shared" si="3"/>
        <v/>
      </c>
      <c r="Q5" s="2" t="s">
        <v>62</v>
      </c>
      <c r="R5" s="2" t="s">
        <v>63</v>
      </c>
      <c r="S5" s="2" t="s">
        <v>64</v>
      </c>
      <c r="T5" s="2"/>
    </row>
    <row r="6" spans="1:20" ht="84.9" customHeight="1" x14ac:dyDescent="0.3">
      <c r="A6" s="2" t="s">
        <v>65</v>
      </c>
      <c r="B6" s="2" t="s">
        <v>66</v>
      </c>
      <c r="C6" s="2" t="s">
        <v>67</v>
      </c>
      <c r="D6" s="2" t="s">
        <v>68</v>
      </c>
      <c r="E6" s="2" t="s">
        <v>69</v>
      </c>
      <c r="F6" s="2" t="s">
        <v>70</v>
      </c>
      <c r="G6" s="2" t="s">
        <v>71</v>
      </c>
      <c r="H6" s="2" t="s">
        <v>72</v>
      </c>
      <c r="I6" s="2" t="s">
        <v>214</v>
      </c>
      <c r="J6" s="2"/>
      <c r="K6" s="2"/>
      <c r="L6" s="2"/>
      <c r="M6" s="2" t="str">
        <f t="shared" si="0"/>
        <v/>
      </c>
      <c r="N6" s="2" t="str">
        <f t="shared" si="1"/>
        <v/>
      </c>
      <c r="O6" s="2" t="str">
        <f t="shared" si="2"/>
        <v/>
      </c>
      <c r="P6" s="2" t="str">
        <f t="shared" si="3"/>
        <v/>
      </c>
      <c r="Q6" s="2" t="s">
        <v>74</v>
      </c>
      <c r="R6" s="2" t="s">
        <v>75</v>
      </c>
      <c r="S6" s="2" t="s">
        <v>76</v>
      </c>
      <c r="T6" s="2"/>
    </row>
    <row r="7" spans="1:20" ht="84.9" customHeight="1" x14ac:dyDescent="0.3">
      <c r="A7" s="2" t="s">
        <v>65</v>
      </c>
      <c r="B7" s="2" t="s">
        <v>77</v>
      </c>
      <c r="C7" s="2" t="s">
        <v>78</v>
      </c>
      <c r="D7" s="2" t="s">
        <v>79</v>
      </c>
      <c r="E7" s="2" t="s">
        <v>80</v>
      </c>
      <c r="F7" s="2" t="s">
        <v>81</v>
      </c>
      <c r="G7" s="2" t="s">
        <v>82</v>
      </c>
      <c r="H7" s="2" t="s">
        <v>83</v>
      </c>
      <c r="I7" s="2" t="s">
        <v>215</v>
      </c>
      <c r="J7" s="2"/>
      <c r="K7" s="2"/>
      <c r="L7" s="2"/>
      <c r="M7" s="2" t="str">
        <f t="shared" si="0"/>
        <v/>
      </c>
      <c r="N7" s="2" t="str">
        <f t="shared" si="1"/>
        <v/>
      </c>
      <c r="O7" s="2" t="str">
        <f t="shared" si="2"/>
        <v/>
      </c>
      <c r="P7" s="2" t="str">
        <f t="shared" si="3"/>
        <v/>
      </c>
      <c r="Q7" s="2" t="s">
        <v>85</v>
      </c>
      <c r="R7" s="2" t="s">
        <v>86</v>
      </c>
      <c r="S7" s="2" t="s">
        <v>87</v>
      </c>
      <c r="T7" s="2"/>
    </row>
    <row r="8" spans="1:20" ht="84.9" customHeight="1" x14ac:dyDescent="0.3">
      <c r="A8" s="2" t="s">
        <v>65</v>
      </c>
      <c r="B8" s="2" t="s">
        <v>88</v>
      </c>
      <c r="C8" s="2" t="s">
        <v>89</v>
      </c>
      <c r="D8" s="2" t="s">
        <v>90</v>
      </c>
      <c r="E8" s="2" t="s">
        <v>91</v>
      </c>
      <c r="F8" s="2" t="s">
        <v>92</v>
      </c>
      <c r="G8" s="2" t="s">
        <v>93</v>
      </c>
      <c r="H8" s="2" t="s">
        <v>94</v>
      </c>
      <c r="I8" s="2" t="s">
        <v>216</v>
      </c>
      <c r="J8" s="2"/>
      <c r="K8" s="2"/>
      <c r="L8" s="2"/>
      <c r="M8" s="2" t="str">
        <f t="shared" si="0"/>
        <v/>
      </c>
      <c r="N8" s="2" t="str">
        <f t="shared" si="1"/>
        <v/>
      </c>
      <c r="O8" s="2" t="str">
        <f t="shared" si="2"/>
        <v/>
      </c>
      <c r="P8" s="2" t="str">
        <f t="shared" si="3"/>
        <v/>
      </c>
      <c r="Q8" s="2" t="s">
        <v>96</v>
      </c>
      <c r="R8" s="2" t="s">
        <v>97</v>
      </c>
      <c r="S8" s="2" t="s">
        <v>98</v>
      </c>
      <c r="T8" s="2"/>
    </row>
    <row r="9" spans="1:20" ht="84.9" customHeight="1" x14ac:dyDescent="0.3">
      <c r="A9" s="2" t="s">
        <v>65</v>
      </c>
      <c r="B9" s="2" t="s">
        <v>99</v>
      </c>
      <c r="C9" s="2" t="s">
        <v>100</v>
      </c>
      <c r="D9" s="2" t="s">
        <v>101</v>
      </c>
      <c r="E9" s="2" t="s">
        <v>102</v>
      </c>
      <c r="F9" s="2" t="s">
        <v>103</v>
      </c>
      <c r="G9" s="2" t="s">
        <v>104</v>
      </c>
      <c r="H9" s="2" t="s">
        <v>105</v>
      </c>
      <c r="I9" s="2" t="s">
        <v>217</v>
      </c>
      <c r="J9" s="2"/>
      <c r="K9" s="2"/>
      <c r="L9" s="2"/>
      <c r="M9" s="2" t="str">
        <f t="shared" si="0"/>
        <v/>
      </c>
      <c r="N9" s="2" t="str">
        <f t="shared" si="1"/>
        <v/>
      </c>
      <c r="O9" s="2" t="str">
        <f t="shared" si="2"/>
        <v/>
      </c>
      <c r="P9" s="2" t="str">
        <f t="shared" si="3"/>
        <v/>
      </c>
      <c r="Q9" s="2" t="s">
        <v>107</v>
      </c>
      <c r="R9" s="2" t="s">
        <v>108</v>
      </c>
      <c r="S9" s="2" t="s">
        <v>109</v>
      </c>
      <c r="T9" s="2"/>
    </row>
    <row r="10" spans="1:20" ht="84.9" customHeight="1" x14ac:dyDescent="0.3">
      <c r="A10" s="2" t="s">
        <v>110</v>
      </c>
      <c r="B10" s="2" t="s">
        <v>111</v>
      </c>
      <c r="C10" s="2" t="s">
        <v>112</v>
      </c>
      <c r="D10" s="2" t="s">
        <v>113</v>
      </c>
      <c r="E10" s="2" t="s">
        <v>114</v>
      </c>
      <c r="F10" s="2" t="s">
        <v>115</v>
      </c>
      <c r="G10" s="2" t="s">
        <v>116</v>
      </c>
      <c r="H10" s="2" t="s">
        <v>117</v>
      </c>
      <c r="I10" s="2" t="s">
        <v>218</v>
      </c>
      <c r="J10" s="2"/>
      <c r="K10" s="2"/>
      <c r="L10" s="2"/>
      <c r="M10" s="2" t="str">
        <f t="shared" si="0"/>
        <v/>
      </c>
      <c r="N10" s="2" t="str">
        <f t="shared" si="1"/>
        <v/>
      </c>
      <c r="O10" s="2" t="str">
        <f t="shared" si="2"/>
        <v/>
      </c>
      <c r="P10" s="2" t="str">
        <f t="shared" si="3"/>
        <v/>
      </c>
      <c r="Q10" s="2" t="s">
        <v>119</v>
      </c>
      <c r="R10" s="2" t="s">
        <v>120</v>
      </c>
      <c r="S10" s="2" t="s">
        <v>121</v>
      </c>
      <c r="T10" s="2"/>
    </row>
    <row r="11" spans="1:20" ht="84.9" customHeight="1" x14ac:dyDescent="0.3">
      <c r="A11" s="2" t="s">
        <v>110</v>
      </c>
      <c r="B11" s="2" t="s">
        <v>122</v>
      </c>
      <c r="C11" s="2" t="s">
        <v>123</v>
      </c>
      <c r="D11" s="2" t="s">
        <v>124</v>
      </c>
      <c r="E11" s="2" t="s">
        <v>125</v>
      </c>
      <c r="F11" s="2" t="s">
        <v>126</v>
      </c>
      <c r="G11" s="2" t="s">
        <v>127</v>
      </c>
      <c r="H11" s="2" t="s">
        <v>128</v>
      </c>
      <c r="I11" s="2" t="s">
        <v>219</v>
      </c>
      <c r="J11" s="2"/>
      <c r="K11" s="2"/>
      <c r="L11" s="2"/>
      <c r="M11" s="2" t="str">
        <f t="shared" si="0"/>
        <v/>
      </c>
      <c r="N11" s="2" t="str">
        <f t="shared" si="1"/>
        <v/>
      </c>
      <c r="O11" s="2" t="str">
        <f t="shared" si="2"/>
        <v/>
      </c>
      <c r="P11" s="2" t="str">
        <f t="shared" si="3"/>
        <v/>
      </c>
      <c r="Q11" s="2" t="s">
        <v>130</v>
      </c>
      <c r="R11" s="2" t="s">
        <v>131</v>
      </c>
      <c r="S11" s="2" t="s">
        <v>132</v>
      </c>
      <c r="T11" s="2"/>
    </row>
    <row r="12" spans="1:20" ht="84.9" customHeight="1" x14ac:dyDescent="0.3">
      <c r="A12" s="2" t="s">
        <v>110</v>
      </c>
      <c r="B12" s="2" t="s">
        <v>133</v>
      </c>
      <c r="C12" s="2" t="s">
        <v>134</v>
      </c>
      <c r="D12" s="2" t="s">
        <v>135</v>
      </c>
      <c r="E12" s="2" t="s">
        <v>136</v>
      </c>
      <c r="F12" s="2" t="s">
        <v>137</v>
      </c>
      <c r="G12" s="2" t="s">
        <v>138</v>
      </c>
      <c r="H12" s="2" t="s">
        <v>139</v>
      </c>
      <c r="I12" s="2" t="s">
        <v>220</v>
      </c>
      <c r="J12" s="2"/>
      <c r="K12" s="2"/>
      <c r="L12" s="2"/>
      <c r="M12" s="2" t="str">
        <f t="shared" si="0"/>
        <v/>
      </c>
      <c r="N12" s="2" t="str">
        <f t="shared" si="1"/>
        <v/>
      </c>
      <c r="O12" s="2" t="str">
        <f t="shared" si="2"/>
        <v/>
      </c>
      <c r="P12" s="2" t="str">
        <f t="shared" si="3"/>
        <v/>
      </c>
      <c r="Q12" s="2" t="s">
        <v>141</v>
      </c>
      <c r="R12" s="2" t="s">
        <v>142</v>
      </c>
      <c r="S12" s="2" t="s">
        <v>143</v>
      </c>
      <c r="T12" s="2"/>
    </row>
    <row r="13" spans="1:20" ht="84.9" customHeight="1" x14ac:dyDescent="0.3">
      <c r="A13" s="2" t="s">
        <v>110</v>
      </c>
      <c r="B13" s="2" t="s">
        <v>144</v>
      </c>
      <c r="C13" s="2" t="s">
        <v>145</v>
      </c>
      <c r="D13" s="2" t="s">
        <v>146</v>
      </c>
      <c r="E13" s="2" t="s">
        <v>147</v>
      </c>
      <c r="F13" s="2" t="s">
        <v>148</v>
      </c>
      <c r="G13" s="2" t="s">
        <v>149</v>
      </c>
      <c r="H13" s="2" t="s">
        <v>150</v>
      </c>
      <c r="I13" s="2" t="s">
        <v>221</v>
      </c>
      <c r="J13" s="2"/>
      <c r="K13" s="2"/>
      <c r="L13" s="2"/>
      <c r="M13" s="2" t="str">
        <f t="shared" si="0"/>
        <v/>
      </c>
      <c r="N13" s="2" t="str">
        <f t="shared" si="1"/>
        <v/>
      </c>
      <c r="O13" s="2" t="str">
        <f t="shared" si="2"/>
        <v/>
      </c>
      <c r="P13" s="2" t="str">
        <f t="shared" si="3"/>
        <v/>
      </c>
      <c r="Q13" s="2" t="s">
        <v>152</v>
      </c>
      <c r="R13" s="2" t="s">
        <v>153</v>
      </c>
      <c r="S13" s="2" t="s">
        <v>154</v>
      </c>
      <c r="T13" s="2"/>
    </row>
  </sheetData>
  <autoFilter ref="A1:T13" xr:uid="{00000000-0009-0000-0000-000000000000}"/>
  <conditionalFormatting sqref="J2:M13">
    <cfRule type="colorScale" priority="1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O2:O13">
    <cfRule type="colorScale" priority="2">
      <colorScale>
        <cfvo type="num" val="0"/>
        <cfvo type="num" val="2"/>
        <cfvo type="num" val="4"/>
        <color rgb="FF63BE7B"/>
        <color rgb="FFFFEB84"/>
        <color rgb="FFF8696B"/>
      </colorScale>
    </cfRule>
  </conditionalFormatting>
  <dataValidations count="1">
    <dataValidation type="whole" allowBlank="1" errorTitle="Score no válido" error="Introduce un valor entero entre 1 y 5." sqref="J2:L13" xr:uid="{00000000-0002-0000-0000-000000000000}">
      <formula1>1</formula1>
      <formula2>5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2" customWidth="1"/>
    <col min="2" max="7" width="18" customWidth="1"/>
  </cols>
  <sheetData>
    <row r="1" spans="1:7" ht="30" customHeight="1" x14ac:dyDescent="0.3">
      <c r="A1" s="3" t="s">
        <v>0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14</v>
      </c>
      <c r="G1" s="3" t="s">
        <v>15</v>
      </c>
    </row>
    <row r="2" spans="1:7" ht="30" customHeight="1" x14ac:dyDescent="0.3">
      <c r="A2" s="4" t="s">
        <v>20</v>
      </c>
      <c r="B2" s="4" t="str">
        <f>IFERROR(ROUND(AVERAGEIF(Assessment!$A:$A,A2,Assessment!$J:$J),0),"")</f>
        <v/>
      </c>
      <c r="C2" s="4" t="str">
        <f>IFERROR(ROUND(AVERAGEIF(Assessment!$A:$A,A2,Assessment!$K:$K),0),"")</f>
        <v/>
      </c>
      <c r="D2" s="4" t="str">
        <f>IFERROR(ROUND(AVERAGEIF(Assessment!$A:$A,A2,Assessment!$L:$L),0),"")</f>
        <v/>
      </c>
      <c r="E2" s="4" t="str">
        <f>IFERROR(ROUND(AVERAGE(B2:D2),0),"")</f>
        <v/>
      </c>
      <c r="F2" s="4" t="str">
        <f>IF(E2="","",MAX(0,4-E2))</f>
        <v/>
      </c>
      <c r="G2" s="4" t="str">
        <f>IF(F2="","",IF(F2&gt;=3,"Alta",IF(F2=2,"Media",IF(F2=1,"Media","Baja"))))</f>
        <v/>
      </c>
    </row>
    <row r="3" spans="1:7" ht="30" customHeight="1" x14ac:dyDescent="0.3">
      <c r="A3" s="4" t="s">
        <v>65</v>
      </c>
      <c r="B3" s="4" t="str">
        <f>IFERROR(ROUND(AVERAGEIF(Assessment!$A:$A,A3,Assessment!$J:$J),0),"")</f>
        <v/>
      </c>
      <c r="C3" s="4" t="str">
        <f>IFERROR(ROUND(AVERAGEIF(Assessment!$A:$A,A3,Assessment!$K:$K),0),"")</f>
        <v/>
      </c>
      <c r="D3" s="4" t="str">
        <f>IFERROR(ROUND(AVERAGEIF(Assessment!$A:$A,A3,Assessment!$L:$L),0),"")</f>
        <v/>
      </c>
      <c r="E3" s="4" t="str">
        <f>IFERROR(ROUND(AVERAGE(B3:D3),0),"")</f>
        <v/>
      </c>
      <c r="F3" s="4" t="str">
        <f>IF(E3="","",MAX(0,4-E3))</f>
        <v/>
      </c>
      <c r="G3" s="4" t="str">
        <f>IF(F3="","",IF(F3&gt;=3,"Alta",IF(F3=2,"Media",IF(F3=1,"Media","Baja"))))</f>
        <v/>
      </c>
    </row>
    <row r="4" spans="1:7" ht="30" customHeight="1" x14ac:dyDescent="0.3">
      <c r="A4" s="4" t="s">
        <v>110</v>
      </c>
      <c r="B4" s="4" t="str">
        <f>IFERROR(ROUND(AVERAGEIF(Assessment!$A:$A,A4,Assessment!$J:$J),0),"")</f>
        <v/>
      </c>
      <c r="C4" s="4" t="str">
        <f>IFERROR(ROUND(AVERAGEIF(Assessment!$A:$A,A4,Assessment!$K:$K),0),"")</f>
        <v/>
      </c>
      <c r="D4" s="4" t="str">
        <f>IFERROR(ROUND(AVERAGEIF(Assessment!$A:$A,A4,Assessment!$L:$L),0),"")</f>
        <v/>
      </c>
      <c r="E4" s="4" t="str">
        <f>IFERROR(ROUND(AVERAGE(B4:D4),0),"")</f>
        <v/>
      </c>
      <c r="F4" s="4" t="str">
        <f>IF(E4="","",MAX(0,4-E4))</f>
        <v/>
      </c>
      <c r="G4" s="4" t="str">
        <f>IF(F4="","",IF(F4&gt;=3,"Alta",IF(F4=2,"Media",IF(F4=1,"Media","Baja"))))</f>
        <v/>
      </c>
    </row>
    <row r="5" spans="1:7" ht="30" customHeight="1" x14ac:dyDescent="0.3">
      <c r="A5" s="4" t="s">
        <v>155</v>
      </c>
      <c r="B5" s="4" t="str">
        <f>IFERROR(ROUND(AVERAGE(B2:B4),0),"")</f>
        <v/>
      </c>
      <c r="C5" s="4" t="str">
        <f>IFERROR(ROUND(AVERAGE(C2:C4),0),"")</f>
        <v/>
      </c>
      <c r="D5" s="4" t="str">
        <f>IFERROR(ROUND(AVERAGE(D2:D4),0),"")</f>
        <v/>
      </c>
      <c r="E5" s="4" t="str">
        <f>IFERROR(ROUND(AVERAGE(E2:E4),0),"")</f>
        <v/>
      </c>
      <c r="F5" s="4" t="str">
        <f>IF(E5="","",MAX(0,4-E5))</f>
        <v/>
      </c>
      <c r="G5" s="4" t="str">
        <f>IF(F5="","",IF(F5&gt;=3,"Alta",IF(F5=2,"Media",IF(F5=1,"Media","Baja"))))</f>
        <v/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8" customWidth="1"/>
    <col min="2" max="2" width="56" customWidth="1"/>
    <col min="3" max="4" width="12" customWidth="1"/>
    <col min="5" max="5" width="14" customWidth="1"/>
    <col min="6" max="6" width="12" customWidth="1"/>
    <col min="7" max="7" width="10" customWidth="1"/>
    <col min="8" max="8" width="14" customWidth="1"/>
  </cols>
  <sheetData>
    <row r="1" spans="1:8" ht="30" customHeight="1" x14ac:dyDescent="0.3">
      <c r="A1" s="1" t="s">
        <v>0</v>
      </c>
      <c r="B1" s="1" t="s">
        <v>1</v>
      </c>
      <c r="C1" s="1" t="s">
        <v>156</v>
      </c>
      <c r="D1" s="1" t="s">
        <v>157</v>
      </c>
      <c r="E1" s="1" t="s">
        <v>158</v>
      </c>
      <c r="F1" s="1" t="s">
        <v>159</v>
      </c>
      <c r="G1" s="1" t="s">
        <v>160</v>
      </c>
      <c r="H1" s="1" t="s">
        <v>15</v>
      </c>
    </row>
    <row r="2" spans="1:8" ht="84.9" customHeight="1" x14ac:dyDescent="0.3">
      <c r="A2" s="2" t="s">
        <v>20</v>
      </c>
      <c r="B2" s="2" t="s">
        <v>21</v>
      </c>
      <c r="C2" s="2">
        <f>Assessment!J2</f>
        <v>0</v>
      </c>
      <c r="D2" s="2">
        <f>Assessment!K2</f>
        <v>0</v>
      </c>
      <c r="E2" s="2">
        <f>Assessment!L2</f>
        <v>0</v>
      </c>
      <c r="F2" s="2" t="str">
        <f>Assessment!M2</f>
        <v/>
      </c>
      <c r="G2" s="2" t="str">
        <f>Assessment!O2</f>
        <v/>
      </c>
      <c r="H2" s="2" t="str">
        <f>Assessment!P2</f>
        <v/>
      </c>
    </row>
    <row r="3" spans="1:8" ht="84.9" customHeight="1" x14ac:dyDescent="0.3">
      <c r="A3" s="2" t="s">
        <v>20</v>
      </c>
      <c r="B3" s="2" t="s">
        <v>32</v>
      </c>
      <c r="C3" s="2">
        <f>Assessment!J3</f>
        <v>0</v>
      </c>
      <c r="D3" s="2">
        <f>Assessment!K3</f>
        <v>0</v>
      </c>
      <c r="E3" s="2">
        <f>Assessment!L3</f>
        <v>0</v>
      </c>
      <c r="F3" s="2" t="str">
        <f>Assessment!M3</f>
        <v/>
      </c>
      <c r="G3" s="2" t="str">
        <f>Assessment!O3</f>
        <v/>
      </c>
      <c r="H3" s="2" t="str">
        <f>Assessment!P3</f>
        <v/>
      </c>
    </row>
    <row r="4" spans="1:8" ht="84.9" customHeight="1" x14ac:dyDescent="0.3">
      <c r="A4" s="2" t="s">
        <v>20</v>
      </c>
      <c r="B4" s="2" t="s">
        <v>43</v>
      </c>
      <c r="C4" s="2">
        <f>Assessment!J4</f>
        <v>0</v>
      </c>
      <c r="D4" s="2">
        <f>Assessment!K4</f>
        <v>0</v>
      </c>
      <c r="E4" s="2">
        <f>Assessment!L4</f>
        <v>0</v>
      </c>
      <c r="F4" s="2" t="str">
        <f>Assessment!M4</f>
        <v/>
      </c>
      <c r="G4" s="2" t="str">
        <f>Assessment!O4</f>
        <v/>
      </c>
      <c r="H4" s="2" t="str">
        <f>Assessment!P4</f>
        <v/>
      </c>
    </row>
    <row r="5" spans="1:8" ht="84.9" customHeight="1" x14ac:dyDescent="0.3">
      <c r="A5" s="2" t="s">
        <v>20</v>
      </c>
      <c r="B5" s="2" t="s">
        <v>54</v>
      </c>
      <c r="C5" s="2">
        <f>Assessment!J5</f>
        <v>0</v>
      </c>
      <c r="D5" s="2">
        <f>Assessment!K5</f>
        <v>0</v>
      </c>
      <c r="E5" s="2">
        <f>Assessment!L5</f>
        <v>0</v>
      </c>
      <c r="F5" s="2" t="str">
        <f>Assessment!M5</f>
        <v/>
      </c>
      <c r="G5" s="2" t="str">
        <f>Assessment!O5</f>
        <v/>
      </c>
      <c r="H5" s="2" t="str">
        <f>Assessment!P5</f>
        <v/>
      </c>
    </row>
    <row r="6" spans="1:8" ht="84.9" customHeight="1" x14ac:dyDescent="0.3">
      <c r="A6" s="2" t="s">
        <v>65</v>
      </c>
      <c r="B6" s="2" t="s">
        <v>66</v>
      </c>
      <c r="C6" s="2">
        <f>Assessment!J6</f>
        <v>0</v>
      </c>
      <c r="D6" s="2">
        <f>Assessment!K6</f>
        <v>0</v>
      </c>
      <c r="E6" s="2">
        <f>Assessment!L6</f>
        <v>0</v>
      </c>
      <c r="F6" s="2" t="str">
        <f>Assessment!M6</f>
        <v/>
      </c>
      <c r="G6" s="2" t="str">
        <f>Assessment!O6</f>
        <v/>
      </c>
      <c r="H6" s="2" t="str">
        <f>Assessment!P6</f>
        <v/>
      </c>
    </row>
    <row r="7" spans="1:8" ht="84.9" customHeight="1" x14ac:dyDescent="0.3">
      <c r="A7" s="2" t="s">
        <v>65</v>
      </c>
      <c r="B7" s="2" t="s">
        <v>77</v>
      </c>
      <c r="C7" s="2">
        <f>Assessment!J7</f>
        <v>0</v>
      </c>
      <c r="D7" s="2">
        <f>Assessment!K7</f>
        <v>0</v>
      </c>
      <c r="E7" s="2">
        <f>Assessment!L7</f>
        <v>0</v>
      </c>
      <c r="F7" s="2" t="str">
        <f>Assessment!M7</f>
        <v/>
      </c>
      <c r="G7" s="2" t="str">
        <f>Assessment!O7</f>
        <v/>
      </c>
      <c r="H7" s="2" t="str">
        <f>Assessment!P7</f>
        <v/>
      </c>
    </row>
    <row r="8" spans="1:8" ht="84.9" customHeight="1" x14ac:dyDescent="0.3">
      <c r="A8" s="2" t="s">
        <v>65</v>
      </c>
      <c r="B8" s="2" t="s">
        <v>88</v>
      </c>
      <c r="C8" s="2">
        <f>Assessment!J8</f>
        <v>0</v>
      </c>
      <c r="D8" s="2">
        <f>Assessment!K8</f>
        <v>0</v>
      </c>
      <c r="E8" s="2">
        <f>Assessment!L8</f>
        <v>0</v>
      </c>
      <c r="F8" s="2" t="str">
        <f>Assessment!M8</f>
        <v/>
      </c>
      <c r="G8" s="2" t="str">
        <f>Assessment!O8</f>
        <v/>
      </c>
      <c r="H8" s="2" t="str">
        <f>Assessment!P8</f>
        <v/>
      </c>
    </row>
    <row r="9" spans="1:8" ht="84.9" customHeight="1" x14ac:dyDescent="0.3">
      <c r="A9" s="2" t="s">
        <v>65</v>
      </c>
      <c r="B9" s="2" t="s">
        <v>99</v>
      </c>
      <c r="C9" s="2">
        <f>Assessment!J9</f>
        <v>0</v>
      </c>
      <c r="D9" s="2">
        <f>Assessment!K9</f>
        <v>0</v>
      </c>
      <c r="E9" s="2">
        <f>Assessment!L9</f>
        <v>0</v>
      </c>
      <c r="F9" s="2" t="str">
        <f>Assessment!M9</f>
        <v/>
      </c>
      <c r="G9" s="2" t="str">
        <f>Assessment!O9</f>
        <v/>
      </c>
      <c r="H9" s="2" t="str">
        <f>Assessment!P9</f>
        <v/>
      </c>
    </row>
    <row r="10" spans="1:8" ht="84.9" customHeight="1" x14ac:dyDescent="0.3">
      <c r="A10" s="2" t="s">
        <v>110</v>
      </c>
      <c r="B10" s="2" t="s">
        <v>111</v>
      </c>
      <c r="C10" s="2">
        <f>Assessment!J10</f>
        <v>0</v>
      </c>
      <c r="D10" s="2">
        <f>Assessment!K10</f>
        <v>0</v>
      </c>
      <c r="E10" s="2">
        <f>Assessment!L10</f>
        <v>0</v>
      </c>
      <c r="F10" s="2" t="str">
        <f>Assessment!M10</f>
        <v/>
      </c>
      <c r="G10" s="2" t="str">
        <f>Assessment!O10</f>
        <v/>
      </c>
      <c r="H10" s="2" t="str">
        <f>Assessment!P10</f>
        <v/>
      </c>
    </row>
    <row r="11" spans="1:8" ht="84.9" customHeight="1" x14ac:dyDescent="0.3">
      <c r="A11" s="2" t="s">
        <v>110</v>
      </c>
      <c r="B11" s="2" t="s">
        <v>122</v>
      </c>
      <c r="C11" s="2">
        <f>Assessment!J11</f>
        <v>0</v>
      </c>
      <c r="D11" s="2">
        <f>Assessment!K11</f>
        <v>0</v>
      </c>
      <c r="E11" s="2">
        <f>Assessment!L11</f>
        <v>0</v>
      </c>
      <c r="F11" s="2" t="str">
        <f>Assessment!M11</f>
        <v/>
      </c>
      <c r="G11" s="2" t="str">
        <f>Assessment!O11</f>
        <v/>
      </c>
      <c r="H11" s="2" t="str">
        <f>Assessment!P11</f>
        <v/>
      </c>
    </row>
    <row r="12" spans="1:8" ht="84.9" customHeight="1" x14ac:dyDescent="0.3">
      <c r="A12" s="2" t="s">
        <v>110</v>
      </c>
      <c r="B12" s="2" t="s">
        <v>133</v>
      </c>
      <c r="C12" s="2">
        <f>Assessment!J12</f>
        <v>0</v>
      </c>
      <c r="D12" s="2">
        <f>Assessment!K12</f>
        <v>0</v>
      </c>
      <c r="E12" s="2">
        <f>Assessment!L12</f>
        <v>0</v>
      </c>
      <c r="F12" s="2" t="str">
        <f>Assessment!M12</f>
        <v/>
      </c>
      <c r="G12" s="2" t="str">
        <f>Assessment!O12</f>
        <v/>
      </c>
      <c r="H12" s="2" t="str">
        <f>Assessment!P12</f>
        <v/>
      </c>
    </row>
    <row r="13" spans="1:8" ht="84.9" customHeight="1" x14ac:dyDescent="0.3">
      <c r="A13" s="2" t="s">
        <v>110</v>
      </c>
      <c r="B13" s="2" t="s">
        <v>144</v>
      </c>
      <c r="C13" s="2">
        <f>Assessment!J13</f>
        <v>0</v>
      </c>
      <c r="D13" s="2">
        <f>Assessment!K13</f>
        <v>0</v>
      </c>
      <c r="E13" s="2">
        <f>Assessment!L13</f>
        <v>0</v>
      </c>
      <c r="F13" s="2" t="str">
        <f>Assessment!M13</f>
        <v/>
      </c>
      <c r="G13" s="2" t="str">
        <f>Assessment!O13</f>
        <v/>
      </c>
      <c r="H13" s="2" t="str">
        <f>Assessment!P13</f>
        <v/>
      </c>
    </row>
  </sheetData>
  <autoFilter ref="A1:H13" xr:uid="{00000000-0009-0000-0000-000002000000}"/>
  <conditionalFormatting sqref="C2:F13">
    <cfRule type="colorScale" priority="1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G2:G13">
    <cfRule type="colorScale" priority="2">
      <colorScale>
        <cfvo type="num" val="0"/>
        <cfvo type="num" val="2"/>
        <cfvo type="num" val="4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8" customWidth="1"/>
    <col min="2" max="2" width="56" customWidth="1"/>
    <col min="3" max="3" width="10" customWidth="1"/>
    <col min="4" max="4" width="14" customWidth="1"/>
    <col min="5" max="5" width="68" customWidth="1"/>
    <col min="6" max="6" width="60" customWidth="1"/>
    <col min="7" max="7" width="14" customWidth="1"/>
    <col min="8" max="8" width="18" customWidth="1"/>
    <col min="9" max="9" width="16" customWidth="1"/>
    <col min="10" max="10" width="35" customWidth="1"/>
  </cols>
  <sheetData>
    <row r="1" spans="1:10" ht="30" customHeight="1" x14ac:dyDescent="0.3">
      <c r="A1" s="1" t="s">
        <v>0</v>
      </c>
      <c r="B1" s="1" t="s">
        <v>1</v>
      </c>
      <c r="C1" s="1" t="s">
        <v>160</v>
      </c>
      <c r="D1" s="1" t="s">
        <v>15</v>
      </c>
      <c r="E1" s="1" t="s">
        <v>18</v>
      </c>
      <c r="F1" s="1" t="s">
        <v>161</v>
      </c>
      <c r="G1" s="1" t="s">
        <v>162</v>
      </c>
      <c r="H1" s="1" t="s">
        <v>163</v>
      </c>
      <c r="I1" s="1" t="s">
        <v>164</v>
      </c>
      <c r="J1" s="1" t="s">
        <v>165</v>
      </c>
    </row>
    <row r="2" spans="1:10" ht="84.9" customHeight="1" x14ac:dyDescent="0.3">
      <c r="A2" s="2" t="s">
        <v>20</v>
      </c>
      <c r="B2" s="2" t="s">
        <v>21</v>
      </c>
      <c r="C2" s="2" t="str">
        <f>Assessment!O2</f>
        <v/>
      </c>
      <c r="D2" s="2" t="str">
        <f>Assessment!P2</f>
        <v/>
      </c>
      <c r="E2" s="2" t="s">
        <v>31</v>
      </c>
      <c r="F2" s="2" t="s">
        <v>210</v>
      </c>
      <c r="G2" s="2" t="str">
        <f t="shared" ref="G2:G13" si="0">IF(C2="","",IF(C2&gt;=3,"Oleada 1",IF(C2=2,"Oleada 2",IF(C2=1,"Oleada 3",""))))</f>
        <v/>
      </c>
      <c r="H2" s="2"/>
      <c r="I2" s="2" t="s">
        <v>166</v>
      </c>
      <c r="J2" s="2"/>
    </row>
    <row r="3" spans="1:10" ht="84.9" customHeight="1" x14ac:dyDescent="0.3">
      <c r="A3" s="2" t="s">
        <v>20</v>
      </c>
      <c r="B3" s="2" t="s">
        <v>32</v>
      </c>
      <c r="C3" s="2" t="str">
        <f>Assessment!O3</f>
        <v/>
      </c>
      <c r="D3" s="2" t="str">
        <f>Assessment!P3</f>
        <v/>
      </c>
      <c r="E3" s="2" t="s">
        <v>42</v>
      </c>
      <c r="F3" s="2" t="s">
        <v>211</v>
      </c>
      <c r="G3" s="2" t="str">
        <f t="shared" si="0"/>
        <v/>
      </c>
      <c r="H3" s="2"/>
      <c r="I3" s="2" t="s">
        <v>166</v>
      </c>
      <c r="J3" s="2"/>
    </row>
    <row r="4" spans="1:10" ht="84.9" customHeight="1" x14ac:dyDescent="0.3">
      <c r="A4" s="2" t="s">
        <v>20</v>
      </c>
      <c r="B4" s="2" t="s">
        <v>43</v>
      </c>
      <c r="C4" s="2" t="str">
        <f>Assessment!O4</f>
        <v/>
      </c>
      <c r="D4" s="2" t="str">
        <f>Assessment!P4</f>
        <v/>
      </c>
      <c r="E4" s="2" t="s">
        <v>53</v>
      </c>
      <c r="F4" s="2" t="s">
        <v>212</v>
      </c>
      <c r="G4" s="2" t="str">
        <f t="shared" si="0"/>
        <v/>
      </c>
      <c r="H4" s="2"/>
      <c r="I4" s="2" t="s">
        <v>166</v>
      </c>
      <c r="J4" s="2"/>
    </row>
    <row r="5" spans="1:10" ht="84.9" customHeight="1" x14ac:dyDescent="0.3">
      <c r="A5" s="2" t="s">
        <v>20</v>
      </c>
      <c r="B5" s="2" t="s">
        <v>54</v>
      </c>
      <c r="C5" s="2" t="str">
        <f>Assessment!O5</f>
        <v/>
      </c>
      <c r="D5" s="2" t="str">
        <f>Assessment!P5</f>
        <v/>
      </c>
      <c r="E5" s="2" t="s">
        <v>64</v>
      </c>
      <c r="F5" s="2" t="s">
        <v>213</v>
      </c>
      <c r="G5" s="2" t="str">
        <f t="shared" si="0"/>
        <v/>
      </c>
      <c r="H5" s="2"/>
      <c r="I5" s="2" t="s">
        <v>166</v>
      </c>
      <c r="J5" s="2"/>
    </row>
    <row r="6" spans="1:10" ht="84.9" customHeight="1" x14ac:dyDescent="0.3">
      <c r="A6" s="2" t="s">
        <v>65</v>
      </c>
      <c r="B6" s="2" t="s">
        <v>66</v>
      </c>
      <c r="C6" s="2" t="str">
        <f>Assessment!O6</f>
        <v/>
      </c>
      <c r="D6" s="2" t="str">
        <f>Assessment!P6</f>
        <v/>
      </c>
      <c r="E6" s="2" t="s">
        <v>76</v>
      </c>
      <c r="F6" s="2" t="s">
        <v>214</v>
      </c>
      <c r="G6" s="2" t="str">
        <f t="shared" si="0"/>
        <v/>
      </c>
      <c r="H6" s="2"/>
      <c r="I6" s="2" t="s">
        <v>166</v>
      </c>
      <c r="J6" s="2"/>
    </row>
    <row r="7" spans="1:10" ht="84.9" customHeight="1" x14ac:dyDescent="0.3">
      <c r="A7" s="2" t="s">
        <v>65</v>
      </c>
      <c r="B7" s="2" t="s">
        <v>77</v>
      </c>
      <c r="C7" s="2" t="str">
        <f>Assessment!O7</f>
        <v/>
      </c>
      <c r="D7" s="2" t="str">
        <f>Assessment!P7</f>
        <v/>
      </c>
      <c r="E7" s="2" t="s">
        <v>87</v>
      </c>
      <c r="F7" s="2" t="s">
        <v>215</v>
      </c>
      <c r="G7" s="2" t="str">
        <f t="shared" si="0"/>
        <v/>
      </c>
      <c r="H7" s="2"/>
      <c r="I7" s="2" t="s">
        <v>166</v>
      </c>
      <c r="J7" s="2"/>
    </row>
    <row r="8" spans="1:10" ht="84.9" customHeight="1" x14ac:dyDescent="0.3">
      <c r="A8" s="2" t="s">
        <v>65</v>
      </c>
      <c r="B8" s="2" t="s">
        <v>88</v>
      </c>
      <c r="C8" s="2" t="str">
        <f>Assessment!O8</f>
        <v/>
      </c>
      <c r="D8" s="2" t="str">
        <f>Assessment!P8</f>
        <v/>
      </c>
      <c r="E8" s="2" t="s">
        <v>98</v>
      </c>
      <c r="F8" s="2" t="s">
        <v>216</v>
      </c>
      <c r="G8" s="2" t="str">
        <f t="shared" si="0"/>
        <v/>
      </c>
      <c r="H8" s="2"/>
      <c r="I8" s="2" t="s">
        <v>166</v>
      </c>
      <c r="J8" s="2"/>
    </row>
    <row r="9" spans="1:10" ht="84.9" customHeight="1" x14ac:dyDescent="0.3">
      <c r="A9" s="2" t="s">
        <v>65</v>
      </c>
      <c r="B9" s="2" t="s">
        <v>99</v>
      </c>
      <c r="C9" s="2" t="str">
        <f>Assessment!O9</f>
        <v/>
      </c>
      <c r="D9" s="2" t="str">
        <f>Assessment!P9</f>
        <v/>
      </c>
      <c r="E9" s="2" t="s">
        <v>109</v>
      </c>
      <c r="F9" s="2" t="s">
        <v>217</v>
      </c>
      <c r="G9" s="2" t="str">
        <f t="shared" si="0"/>
        <v/>
      </c>
      <c r="H9" s="2"/>
      <c r="I9" s="2" t="s">
        <v>166</v>
      </c>
      <c r="J9" s="2"/>
    </row>
    <row r="10" spans="1:10" ht="84.9" customHeight="1" x14ac:dyDescent="0.3">
      <c r="A10" s="2" t="s">
        <v>110</v>
      </c>
      <c r="B10" s="2" t="s">
        <v>111</v>
      </c>
      <c r="C10" s="2" t="str">
        <f>Assessment!O10</f>
        <v/>
      </c>
      <c r="D10" s="2" t="str">
        <f>Assessment!P10</f>
        <v/>
      </c>
      <c r="E10" s="2" t="s">
        <v>121</v>
      </c>
      <c r="F10" s="2" t="s">
        <v>218</v>
      </c>
      <c r="G10" s="2" t="str">
        <f t="shared" si="0"/>
        <v/>
      </c>
      <c r="H10" s="2"/>
      <c r="I10" s="2" t="s">
        <v>166</v>
      </c>
      <c r="J10" s="2"/>
    </row>
    <row r="11" spans="1:10" ht="84.9" customHeight="1" x14ac:dyDescent="0.3">
      <c r="A11" s="2" t="s">
        <v>110</v>
      </c>
      <c r="B11" s="2" t="s">
        <v>122</v>
      </c>
      <c r="C11" s="2" t="str">
        <f>Assessment!O11</f>
        <v/>
      </c>
      <c r="D11" s="2" t="str">
        <f>Assessment!P11</f>
        <v/>
      </c>
      <c r="E11" s="2" t="s">
        <v>132</v>
      </c>
      <c r="F11" s="2" t="s">
        <v>219</v>
      </c>
      <c r="G11" s="2" t="str">
        <f t="shared" si="0"/>
        <v/>
      </c>
      <c r="H11" s="2"/>
      <c r="I11" s="2" t="s">
        <v>166</v>
      </c>
      <c r="J11" s="2"/>
    </row>
    <row r="12" spans="1:10" ht="84.9" customHeight="1" x14ac:dyDescent="0.3">
      <c r="A12" s="2" t="s">
        <v>110</v>
      </c>
      <c r="B12" s="2" t="s">
        <v>133</v>
      </c>
      <c r="C12" s="2" t="str">
        <f>Assessment!O12</f>
        <v/>
      </c>
      <c r="D12" s="2" t="str">
        <f>Assessment!P12</f>
        <v/>
      </c>
      <c r="E12" s="2" t="s">
        <v>143</v>
      </c>
      <c r="F12" s="2" t="s">
        <v>220</v>
      </c>
      <c r="G12" s="2" t="str">
        <f t="shared" si="0"/>
        <v/>
      </c>
      <c r="H12" s="2"/>
      <c r="I12" s="2" t="s">
        <v>166</v>
      </c>
      <c r="J12" s="2"/>
    </row>
    <row r="13" spans="1:10" ht="84.9" customHeight="1" x14ac:dyDescent="0.3">
      <c r="A13" s="2" t="s">
        <v>110</v>
      </c>
      <c r="B13" s="2" t="s">
        <v>144</v>
      </c>
      <c r="C13" s="2" t="str">
        <f>Assessment!O13</f>
        <v/>
      </c>
      <c r="D13" s="2" t="str">
        <f>Assessment!P13</f>
        <v/>
      </c>
      <c r="E13" s="2" t="s">
        <v>154</v>
      </c>
      <c r="F13" s="2" t="s">
        <v>221</v>
      </c>
      <c r="G13" s="2" t="str">
        <f t="shared" si="0"/>
        <v/>
      </c>
      <c r="H13" s="2"/>
      <c r="I13" s="2" t="s">
        <v>166</v>
      </c>
      <c r="J13" s="2"/>
    </row>
  </sheetData>
  <autoFilter ref="A1:J13" xr:uid="{00000000-0009-0000-0000-000003000000}"/>
  <dataValidations count="1">
    <dataValidation type="list" allowBlank="1" sqref="I2:I13" xr:uid="{00000000-0002-0000-0300-000000000000}">
      <formula1>"No iniciado,En curso,Completado,En pausa"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8" customWidth="1"/>
    <col min="2" max="2" width="56" customWidth="1"/>
    <col min="3" max="3" width="68" customWidth="1"/>
    <col min="4" max="4" width="82" customWidth="1"/>
    <col min="5" max="5" width="35" customWidth="1"/>
  </cols>
  <sheetData>
    <row r="1" spans="1:5" ht="30" customHeight="1" x14ac:dyDescent="0.3">
      <c r="A1" s="1" t="s">
        <v>0</v>
      </c>
      <c r="B1" s="1" t="s">
        <v>1</v>
      </c>
      <c r="C1" s="1" t="s">
        <v>8</v>
      </c>
      <c r="D1" s="1" t="s">
        <v>167</v>
      </c>
      <c r="E1" s="1" t="s">
        <v>168</v>
      </c>
    </row>
    <row r="2" spans="1:5" ht="84.9" customHeight="1" x14ac:dyDescent="0.3">
      <c r="A2" s="2" t="s">
        <v>20</v>
      </c>
      <c r="B2" s="2" t="s">
        <v>21</v>
      </c>
      <c r="C2" s="2" t="s">
        <v>210</v>
      </c>
      <c r="D2" s="2" t="s">
        <v>27</v>
      </c>
      <c r="E2" s="2" t="s">
        <v>169</v>
      </c>
    </row>
    <row r="3" spans="1:5" ht="84.9" customHeight="1" x14ac:dyDescent="0.3">
      <c r="A3" s="2" t="s">
        <v>20</v>
      </c>
      <c r="B3" s="2" t="s">
        <v>32</v>
      </c>
      <c r="C3" s="2" t="s">
        <v>211</v>
      </c>
      <c r="D3" s="2" t="s">
        <v>38</v>
      </c>
      <c r="E3" s="2" t="s">
        <v>169</v>
      </c>
    </row>
    <row r="4" spans="1:5" ht="84.9" customHeight="1" x14ac:dyDescent="0.3">
      <c r="A4" s="2" t="s">
        <v>20</v>
      </c>
      <c r="B4" s="2" t="s">
        <v>43</v>
      </c>
      <c r="C4" s="2" t="s">
        <v>212</v>
      </c>
      <c r="D4" s="2" t="s">
        <v>49</v>
      </c>
      <c r="E4" s="2" t="s">
        <v>169</v>
      </c>
    </row>
    <row r="5" spans="1:5" ht="84.9" customHeight="1" x14ac:dyDescent="0.3">
      <c r="A5" s="2" t="s">
        <v>20</v>
      </c>
      <c r="B5" s="2" t="s">
        <v>54</v>
      </c>
      <c r="C5" s="2" t="s">
        <v>213</v>
      </c>
      <c r="D5" s="2" t="s">
        <v>60</v>
      </c>
      <c r="E5" s="2" t="s">
        <v>169</v>
      </c>
    </row>
    <row r="6" spans="1:5" ht="84.9" customHeight="1" x14ac:dyDescent="0.3">
      <c r="A6" s="2" t="s">
        <v>65</v>
      </c>
      <c r="B6" s="2" t="s">
        <v>66</v>
      </c>
      <c r="C6" s="2" t="s">
        <v>214</v>
      </c>
      <c r="D6" s="2" t="s">
        <v>72</v>
      </c>
      <c r="E6" s="2" t="s">
        <v>169</v>
      </c>
    </row>
    <row r="7" spans="1:5" ht="84.9" customHeight="1" x14ac:dyDescent="0.3">
      <c r="A7" s="2" t="s">
        <v>65</v>
      </c>
      <c r="B7" s="2" t="s">
        <v>77</v>
      </c>
      <c r="C7" s="2" t="s">
        <v>215</v>
      </c>
      <c r="D7" s="2" t="s">
        <v>83</v>
      </c>
      <c r="E7" s="2" t="s">
        <v>169</v>
      </c>
    </row>
    <row r="8" spans="1:5" ht="84.9" customHeight="1" x14ac:dyDescent="0.3">
      <c r="A8" s="2" t="s">
        <v>65</v>
      </c>
      <c r="B8" s="2" t="s">
        <v>88</v>
      </c>
      <c r="C8" s="2" t="s">
        <v>216</v>
      </c>
      <c r="D8" s="2" t="s">
        <v>94</v>
      </c>
      <c r="E8" s="2" t="s">
        <v>169</v>
      </c>
    </row>
    <row r="9" spans="1:5" ht="84.9" customHeight="1" x14ac:dyDescent="0.3">
      <c r="A9" s="2" t="s">
        <v>65</v>
      </c>
      <c r="B9" s="2" t="s">
        <v>99</v>
      </c>
      <c r="C9" s="2" t="s">
        <v>217</v>
      </c>
      <c r="D9" s="2" t="s">
        <v>105</v>
      </c>
      <c r="E9" s="2" t="s">
        <v>169</v>
      </c>
    </row>
    <row r="10" spans="1:5" ht="84.9" customHeight="1" x14ac:dyDescent="0.3">
      <c r="A10" s="2" t="s">
        <v>110</v>
      </c>
      <c r="B10" s="2" t="s">
        <v>111</v>
      </c>
      <c r="C10" s="2" t="s">
        <v>218</v>
      </c>
      <c r="D10" s="2" t="s">
        <v>117</v>
      </c>
      <c r="E10" s="2" t="s">
        <v>169</v>
      </c>
    </row>
    <row r="11" spans="1:5" ht="84.9" customHeight="1" x14ac:dyDescent="0.3">
      <c r="A11" s="2" t="s">
        <v>110</v>
      </c>
      <c r="B11" s="2" t="s">
        <v>122</v>
      </c>
      <c r="C11" s="2" t="s">
        <v>219</v>
      </c>
      <c r="D11" s="2" t="s">
        <v>128</v>
      </c>
      <c r="E11" s="2" t="s">
        <v>169</v>
      </c>
    </row>
    <row r="12" spans="1:5" ht="84.9" customHeight="1" x14ac:dyDescent="0.3">
      <c r="A12" s="2" t="s">
        <v>110</v>
      </c>
      <c r="B12" s="2" t="s">
        <v>133</v>
      </c>
      <c r="C12" s="2" t="s">
        <v>220</v>
      </c>
      <c r="D12" s="2" t="s">
        <v>139</v>
      </c>
      <c r="E12" s="2" t="s">
        <v>169</v>
      </c>
    </row>
    <row r="13" spans="1:5" ht="84.9" customHeight="1" x14ac:dyDescent="0.3">
      <c r="A13" s="2" t="s">
        <v>110</v>
      </c>
      <c r="B13" s="2" t="s">
        <v>144</v>
      </c>
      <c r="C13" s="2" t="s">
        <v>221</v>
      </c>
      <c r="D13" s="2" t="s">
        <v>150</v>
      </c>
      <c r="E13" s="2" t="s">
        <v>169</v>
      </c>
    </row>
  </sheetData>
  <autoFilter ref="A1:E13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7"/>
  <sheetViews>
    <sheetView workbookViewId="0"/>
  </sheetViews>
  <sheetFormatPr defaultRowHeight="14.4" x14ac:dyDescent="0.3"/>
  <cols>
    <col min="1" max="1" width="28" customWidth="1"/>
    <col min="2" max="2" width="95" customWidth="1"/>
  </cols>
  <sheetData>
    <row r="1" spans="1:2" ht="30" customHeight="1" x14ac:dyDescent="0.3">
      <c r="A1" s="1" t="s">
        <v>170</v>
      </c>
      <c r="B1" s="1"/>
    </row>
    <row r="2" spans="1:2" ht="30" customHeight="1" x14ac:dyDescent="0.3">
      <c r="A2" s="5" t="s">
        <v>171</v>
      </c>
      <c r="B2" s="5"/>
    </row>
    <row r="3" spans="1:2" ht="30" customHeight="1" x14ac:dyDescent="0.3">
      <c r="A3" s="2" t="s">
        <v>3</v>
      </c>
      <c r="B3" s="2" t="s">
        <v>172</v>
      </c>
    </row>
    <row r="4" spans="1:2" ht="30" customHeight="1" x14ac:dyDescent="0.3">
      <c r="A4" s="2" t="s">
        <v>4</v>
      </c>
      <c r="B4" s="2" t="s">
        <v>173</v>
      </c>
    </row>
    <row r="5" spans="1:2" ht="30" customHeight="1" x14ac:dyDescent="0.3">
      <c r="A5" s="2" t="s">
        <v>5</v>
      </c>
      <c r="B5" s="2" t="s">
        <v>174</v>
      </c>
    </row>
    <row r="6" spans="1:2" ht="30" customHeight="1" x14ac:dyDescent="0.3">
      <c r="A6" s="2" t="s">
        <v>6</v>
      </c>
      <c r="B6" s="2" t="s">
        <v>175</v>
      </c>
    </row>
    <row r="7" spans="1:2" ht="30" customHeight="1" x14ac:dyDescent="0.3">
      <c r="A7" s="2" t="s">
        <v>176</v>
      </c>
      <c r="B7" s="2" t="s">
        <v>177</v>
      </c>
    </row>
    <row r="8" spans="1:2" ht="30" customHeight="1" x14ac:dyDescent="0.3">
      <c r="A8" s="2"/>
      <c r="B8" s="2"/>
    </row>
    <row r="9" spans="1:2" ht="30" customHeight="1" x14ac:dyDescent="0.3">
      <c r="A9" s="5" t="s">
        <v>178</v>
      </c>
      <c r="B9" s="5"/>
    </row>
    <row r="10" spans="1:2" ht="30" customHeight="1" x14ac:dyDescent="0.3">
      <c r="A10" s="2" t="s">
        <v>3</v>
      </c>
      <c r="B10" s="2" t="s">
        <v>179</v>
      </c>
    </row>
    <row r="11" spans="1:2" ht="30" customHeight="1" x14ac:dyDescent="0.3">
      <c r="A11" s="2" t="s">
        <v>4</v>
      </c>
      <c r="B11" s="2" t="s">
        <v>180</v>
      </c>
    </row>
    <row r="12" spans="1:2" ht="30" customHeight="1" x14ac:dyDescent="0.3">
      <c r="A12" s="2" t="s">
        <v>5</v>
      </c>
      <c r="B12" s="2" t="s">
        <v>181</v>
      </c>
    </row>
    <row r="13" spans="1:2" ht="30" customHeight="1" x14ac:dyDescent="0.3">
      <c r="A13" s="2" t="s">
        <v>6</v>
      </c>
      <c r="B13" s="2" t="s">
        <v>182</v>
      </c>
    </row>
    <row r="14" spans="1:2" ht="30" customHeight="1" x14ac:dyDescent="0.3">
      <c r="A14" s="2" t="s">
        <v>176</v>
      </c>
      <c r="B14" s="2" t="s">
        <v>183</v>
      </c>
    </row>
    <row r="15" spans="1:2" ht="30" customHeight="1" x14ac:dyDescent="0.3">
      <c r="A15" s="2"/>
      <c r="B15" s="2"/>
    </row>
    <row r="16" spans="1:2" ht="30" customHeight="1" x14ac:dyDescent="0.3">
      <c r="A16" s="5" t="s">
        <v>184</v>
      </c>
      <c r="B16" s="5"/>
    </row>
    <row r="17" spans="1:2" ht="30" customHeight="1" x14ac:dyDescent="0.3">
      <c r="A17" s="2" t="s">
        <v>3</v>
      </c>
      <c r="B17" s="2" t="s">
        <v>185</v>
      </c>
    </row>
    <row r="18" spans="1:2" ht="30" customHeight="1" x14ac:dyDescent="0.3">
      <c r="A18" s="2" t="s">
        <v>4</v>
      </c>
      <c r="B18" s="2" t="s">
        <v>186</v>
      </c>
    </row>
    <row r="19" spans="1:2" ht="30" customHeight="1" x14ac:dyDescent="0.3">
      <c r="A19" s="2" t="s">
        <v>5</v>
      </c>
      <c r="B19" s="2" t="s">
        <v>187</v>
      </c>
    </row>
    <row r="20" spans="1:2" ht="30" customHeight="1" x14ac:dyDescent="0.3">
      <c r="A20" s="2" t="s">
        <v>6</v>
      </c>
      <c r="B20" s="2" t="s">
        <v>188</v>
      </c>
    </row>
    <row r="21" spans="1:2" ht="30" customHeight="1" x14ac:dyDescent="0.3">
      <c r="A21" s="2" t="s">
        <v>176</v>
      </c>
      <c r="B21" s="2" t="s">
        <v>189</v>
      </c>
    </row>
    <row r="22" spans="1:2" ht="30" customHeight="1" x14ac:dyDescent="0.3">
      <c r="A22" s="2"/>
      <c r="B22" s="2"/>
    </row>
    <row r="23" spans="1:2" ht="30" customHeight="1" x14ac:dyDescent="0.3">
      <c r="A23" s="5" t="s">
        <v>190</v>
      </c>
      <c r="B23" s="5"/>
    </row>
    <row r="24" spans="1:2" ht="30" customHeight="1" x14ac:dyDescent="0.3">
      <c r="A24" s="2" t="s">
        <v>191</v>
      </c>
      <c r="B24" s="2" t="s">
        <v>192</v>
      </c>
    </row>
    <row r="25" spans="1:2" ht="30" customHeight="1" x14ac:dyDescent="0.3">
      <c r="A25" s="2" t="s">
        <v>193</v>
      </c>
      <c r="B25" s="2" t="s">
        <v>194</v>
      </c>
    </row>
    <row r="26" spans="1:2" ht="30" customHeight="1" x14ac:dyDescent="0.3">
      <c r="A26" s="2" t="s">
        <v>195</v>
      </c>
      <c r="B26" s="2" t="s">
        <v>196</v>
      </c>
    </row>
    <row r="27" spans="1:2" ht="30" customHeight="1" x14ac:dyDescent="0.3">
      <c r="A27" s="2" t="s">
        <v>197</v>
      </c>
      <c r="B27" s="2" t="s">
        <v>198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6"/>
  <sheetViews>
    <sheetView workbookViewId="0"/>
  </sheetViews>
  <sheetFormatPr defaultRowHeight="14.4" x14ac:dyDescent="0.3"/>
  <cols>
    <col min="1" max="1" width="28" customWidth="1"/>
    <col min="2" max="2" width="115" customWidth="1"/>
  </cols>
  <sheetData>
    <row r="1" spans="1:2" ht="30" customHeight="1" x14ac:dyDescent="0.3">
      <c r="A1" s="7" t="s">
        <v>199</v>
      </c>
      <c r="B1" s="8"/>
    </row>
    <row r="2" spans="1:2" ht="30" customHeight="1" x14ac:dyDescent="0.3">
      <c r="A2" s="6" t="s">
        <v>200</v>
      </c>
      <c r="B2" s="2" t="s">
        <v>201</v>
      </c>
    </row>
    <row r="3" spans="1:2" ht="30" customHeight="1" x14ac:dyDescent="0.3">
      <c r="A3" s="6" t="s">
        <v>202</v>
      </c>
      <c r="B3" s="2" t="s">
        <v>203</v>
      </c>
    </row>
    <row r="4" spans="1:2" ht="30" customHeight="1" x14ac:dyDescent="0.3">
      <c r="A4" s="6" t="s">
        <v>204</v>
      </c>
      <c r="B4" s="2" t="s">
        <v>205</v>
      </c>
    </row>
    <row r="5" spans="1:2" ht="30" customHeight="1" x14ac:dyDescent="0.3">
      <c r="A5" s="6" t="s">
        <v>206</v>
      </c>
      <c r="B5" s="2" t="s">
        <v>207</v>
      </c>
    </row>
    <row r="6" spans="1:2" ht="30" customHeight="1" x14ac:dyDescent="0.3">
      <c r="A6" s="6" t="s">
        <v>208</v>
      </c>
      <c r="B6" s="2" t="s">
        <v>209</v>
      </c>
    </row>
  </sheetData>
  <mergeCells count="1">
    <mergeCell ref="A1:B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16FA29F310CEA4A92E7055778740EF9" ma:contentTypeVersion="3" ma:contentTypeDescription="Crear nuevo documento." ma:contentTypeScope="" ma:versionID="6434e39657608d9e2815aff4bbdc6824">
  <xsd:schema xmlns:xsd="http://www.w3.org/2001/XMLSchema" xmlns:xs="http://www.w3.org/2001/XMLSchema" xmlns:p="http://schemas.microsoft.com/office/2006/metadata/properties" xmlns:ns2="da3482d0-81c1-4135-8399-90eebe419dbb" targetNamespace="http://schemas.microsoft.com/office/2006/metadata/properties" ma:root="true" ma:fieldsID="d96165a36436cef3f51f92079d6e8c94" ns2:_="">
    <xsd:import namespace="da3482d0-81c1-4135-8399-90eebe419d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3482d0-81c1-4135-8399-90eebe419d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7D79618-49B7-4AF8-8FD6-93CD967F4356}"/>
</file>

<file path=customXml/itemProps2.xml><?xml version="1.0" encoding="utf-8"?>
<ds:datastoreItem xmlns:ds="http://schemas.openxmlformats.org/officeDocument/2006/customXml" ds:itemID="{E7A801C7-F352-4A2C-BBBA-D0DB9FA0D088}"/>
</file>

<file path=customXml/itemProps3.xml><?xml version="1.0" encoding="utf-8"?>
<ds:datastoreItem xmlns:ds="http://schemas.openxmlformats.org/officeDocument/2006/customXml" ds:itemID="{6137B479-6C45-4280-8911-C862FF8A94BD}"/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Assessment</vt:lpstr>
      <vt:lpstr>Resumen</vt:lpstr>
      <vt:lpstr>Heatmap</vt:lpstr>
      <vt:lpstr>Roadmap</vt:lpstr>
      <vt:lpstr>AI Overlay</vt:lpstr>
      <vt:lpstr>Guias scoring</vt:lpstr>
      <vt:lpstr>Instrucciones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2026-07-28T14:03:18Z</dcterms:created>
  <dcterms:modified xsi:type="dcterms:W3CDTF">2026-07-28T14:04:21Z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0x010100216FA29F310CEA4A92E7055778740EF9</vt:lpwstr>
  </property>
</Properties>
</file>