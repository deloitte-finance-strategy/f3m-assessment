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esources.deloitte.com/sites/FinanceStrategy-2.F3M-FinanceAssessmentAccelerator/Shared Documents/1. FP&amp;A Assessment framework/"/>
    </mc:Choice>
  </mc:AlternateContent>
  <xr:revisionPtr revIDLastSave="7" documentId="8_{58122F5E-A29C-4187-BE07-041906D814FF}" xr6:coauthVersionLast="47" xr6:coauthVersionMax="47" xr10:uidLastSave="{5DCFA3B7-9810-4B9B-BD3B-314BB6428AC2}"/>
  <bookViews>
    <workbookView xWindow="14460" yWindow="-21600" windowWidth="26010" windowHeight="20985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Instrucciones" sheetId="5" r:id="rId5"/>
    <sheet name="Guias scoring" sheetId="6" r:id="rId6"/>
    <sheet name="AI Overlay" sheetId="7" r:id="rId7"/>
  </sheets>
  <definedNames>
    <definedName name="_xlnm._FilterDatabase" localSheetId="0" hidden="1">Assessment!$A$1:$S$21</definedName>
    <definedName name="_xlnm._FilterDatabase" localSheetId="2" hidden="1">Heatmap!$A$1:$H$21</definedName>
    <definedName name="_xlnm._FilterDatabase" localSheetId="1" hidden="1">Resumen!$A$1:$G$8</definedName>
    <definedName name="_xlnm._FilterDatabase" localSheetId="3" hidden="1">Roadmap!$A$1:$I$21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4" l="1"/>
  <c r="B21" i="4"/>
  <c r="A21" i="4"/>
  <c r="E20" i="4"/>
  <c r="B20" i="4"/>
  <c r="A20" i="4"/>
  <c r="E19" i="4"/>
  <c r="B19" i="4"/>
  <c r="A19" i="4"/>
  <c r="E18" i="4"/>
  <c r="B18" i="4"/>
  <c r="A18" i="4"/>
  <c r="E17" i="4"/>
  <c r="B17" i="4"/>
  <c r="A17" i="4"/>
  <c r="E16" i="4"/>
  <c r="B16" i="4"/>
  <c r="A16" i="4"/>
  <c r="E15" i="4"/>
  <c r="B15" i="4"/>
  <c r="A15" i="4"/>
  <c r="E14" i="4"/>
  <c r="B14" i="4"/>
  <c r="A14" i="4"/>
  <c r="E13" i="4"/>
  <c r="B13" i="4"/>
  <c r="A13" i="4"/>
  <c r="E12" i="4"/>
  <c r="B12" i="4"/>
  <c r="A12" i="4"/>
  <c r="E11" i="4"/>
  <c r="B11" i="4"/>
  <c r="A11" i="4"/>
  <c r="E10" i="4"/>
  <c r="B10" i="4"/>
  <c r="A10" i="4"/>
  <c r="E9" i="4"/>
  <c r="B9" i="4"/>
  <c r="A9" i="4"/>
  <c r="E8" i="4"/>
  <c r="B8" i="4"/>
  <c r="A8" i="4"/>
  <c r="E7" i="4"/>
  <c r="B7" i="4"/>
  <c r="A7" i="4"/>
  <c r="E6" i="4"/>
  <c r="B6" i="4"/>
  <c r="A6" i="4"/>
  <c r="E5" i="4"/>
  <c r="B5" i="4"/>
  <c r="A5" i="4"/>
  <c r="E4" i="4"/>
  <c r="B4" i="4"/>
  <c r="A4" i="4"/>
  <c r="E3" i="4"/>
  <c r="B3" i="4"/>
  <c r="A3" i="4"/>
  <c r="E2" i="4"/>
  <c r="B2" i="4"/>
  <c r="A2" i="4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D6" i="2"/>
  <c r="C6" i="2"/>
  <c r="B6" i="2"/>
  <c r="D5" i="2"/>
  <c r="C5" i="2"/>
  <c r="B5" i="2"/>
  <c r="D4" i="2"/>
  <c r="C4" i="2"/>
  <c r="B4" i="2"/>
  <c r="D3" i="2"/>
  <c r="C3" i="2"/>
  <c r="B3" i="2"/>
  <c r="D2" i="2"/>
  <c r="D8" i="2" s="1"/>
  <c r="C2" i="2"/>
  <c r="C8" i="2" s="1"/>
  <c r="B2" i="2"/>
  <c r="B8" i="2" s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F2" i="3" l="1"/>
  <c r="E2" i="2"/>
  <c r="N2" i="1"/>
  <c r="M2" i="1"/>
  <c r="F3" i="3"/>
  <c r="O3" i="1"/>
  <c r="N3" i="1"/>
  <c r="M3" i="1"/>
  <c r="F4" i="3"/>
  <c r="O4" i="1"/>
  <c r="N4" i="1"/>
  <c r="M4" i="1"/>
  <c r="F5" i="3"/>
  <c r="O5" i="1"/>
  <c r="N5" i="1"/>
  <c r="M5" i="1"/>
  <c r="F6" i="3"/>
  <c r="E3" i="2"/>
  <c r="O6" i="1"/>
  <c r="N6" i="1"/>
  <c r="M6" i="1"/>
  <c r="F7" i="3"/>
  <c r="O7" i="1"/>
  <c r="N7" i="1"/>
  <c r="M7" i="1"/>
  <c r="F8" i="3"/>
  <c r="O8" i="1"/>
  <c r="N8" i="1"/>
  <c r="M8" i="1"/>
  <c r="F9" i="3"/>
  <c r="O9" i="1"/>
  <c r="N9" i="1"/>
  <c r="M9" i="1"/>
  <c r="F10" i="3"/>
  <c r="E4" i="2"/>
  <c r="O10" i="1"/>
  <c r="N10" i="1"/>
  <c r="M10" i="1"/>
  <c r="F11" i="3"/>
  <c r="O11" i="1"/>
  <c r="N11" i="1"/>
  <c r="M11" i="1"/>
  <c r="F12" i="3"/>
  <c r="O12" i="1"/>
  <c r="N12" i="1"/>
  <c r="M12" i="1"/>
  <c r="F13" i="3"/>
  <c r="O13" i="1"/>
  <c r="N13" i="1"/>
  <c r="M13" i="1"/>
  <c r="F14" i="3"/>
  <c r="E5" i="2"/>
  <c r="O14" i="1"/>
  <c r="N14" i="1"/>
  <c r="M14" i="1"/>
  <c r="F15" i="3"/>
  <c r="O15" i="1"/>
  <c r="N15" i="1"/>
  <c r="M15" i="1"/>
  <c r="F16" i="3"/>
  <c r="O16" i="1"/>
  <c r="N16" i="1"/>
  <c r="M16" i="1"/>
  <c r="F17" i="3"/>
  <c r="O17" i="1"/>
  <c r="N17" i="1"/>
  <c r="M17" i="1"/>
  <c r="F18" i="3"/>
  <c r="E6" i="2"/>
  <c r="O18" i="1"/>
  <c r="N18" i="1"/>
  <c r="M18" i="1"/>
  <c r="F19" i="3"/>
  <c r="O19" i="1"/>
  <c r="N19" i="1"/>
  <c r="M19" i="1"/>
  <c r="F20" i="3"/>
  <c r="O20" i="1"/>
  <c r="N20" i="1"/>
  <c r="M20" i="1"/>
  <c r="F21" i="3"/>
  <c r="O21" i="1"/>
  <c r="N21" i="1"/>
  <c r="M21" i="1"/>
  <c r="C21" i="4" l="1"/>
  <c r="G21" i="3"/>
  <c r="D21" i="4"/>
  <c r="F21" i="4" s="1"/>
  <c r="H21" i="3"/>
  <c r="C20" i="4"/>
  <c r="G20" i="3"/>
  <c r="D20" i="4"/>
  <c r="F20" i="4" s="1"/>
  <c r="H20" i="3"/>
  <c r="C19" i="4"/>
  <c r="G19" i="3"/>
  <c r="D19" i="4"/>
  <c r="F19" i="4" s="1"/>
  <c r="H19" i="3"/>
  <c r="C18" i="4"/>
  <c r="G18" i="3"/>
  <c r="D18" i="4"/>
  <c r="F18" i="4" s="1"/>
  <c r="H18" i="3"/>
  <c r="G6" i="2"/>
  <c r="F6" i="2"/>
  <c r="C17" i="4"/>
  <c r="G17" i="3"/>
  <c r="D17" i="4"/>
  <c r="F17" i="4" s="1"/>
  <c r="H17" i="3"/>
  <c r="C16" i="4"/>
  <c r="G16" i="3"/>
  <c r="D16" i="4"/>
  <c r="F16" i="4" s="1"/>
  <c r="H16" i="3"/>
  <c r="C15" i="4"/>
  <c r="G15" i="3"/>
  <c r="D15" i="4"/>
  <c r="F15" i="4" s="1"/>
  <c r="H15" i="3"/>
  <c r="C14" i="4"/>
  <c r="G14" i="3"/>
  <c r="D14" i="4"/>
  <c r="F14" i="4" s="1"/>
  <c r="H14" i="3"/>
  <c r="G5" i="2"/>
  <c r="F5" i="2"/>
  <c r="C13" i="4"/>
  <c r="G13" i="3"/>
  <c r="D13" i="4"/>
  <c r="F13" i="4" s="1"/>
  <c r="H13" i="3"/>
  <c r="C12" i="4"/>
  <c r="G12" i="3"/>
  <c r="D12" i="4"/>
  <c r="F12" i="4" s="1"/>
  <c r="H12" i="3"/>
  <c r="C11" i="4"/>
  <c r="G11" i="3"/>
  <c r="D11" i="4"/>
  <c r="F11" i="4" s="1"/>
  <c r="H11" i="3"/>
  <c r="C10" i="4"/>
  <c r="G10" i="3"/>
  <c r="D10" i="4"/>
  <c r="F10" i="4" s="1"/>
  <c r="H10" i="3"/>
  <c r="G4" i="2"/>
  <c r="F4" i="2"/>
  <c r="C9" i="4"/>
  <c r="G9" i="3"/>
  <c r="D9" i="4"/>
  <c r="F9" i="4" s="1"/>
  <c r="H9" i="3"/>
  <c r="C8" i="4"/>
  <c r="G8" i="3"/>
  <c r="D8" i="4"/>
  <c r="F8" i="4" s="1"/>
  <c r="H8" i="3"/>
  <c r="C7" i="4"/>
  <c r="G7" i="3"/>
  <c r="D7" i="4"/>
  <c r="F7" i="4" s="1"/>
  <c r="H7" i="3"/>
  <c r="C6" i="4"/>
  <c r="G6" i="3"/>
  <c r="D6" i="4"/>
  <c r="F6" i="4" s="1"/>
  <c r="H6" i="3"/>
  <c r="G3" i="2"/>
  <c r="F3" i="2"/>
  <c r="C5" i="4"/>
  <c r="G5" i="3"/>
  <c r="D5" i="4"/>
  <c r="F5" i="4" s="1"/>
  <c r="H5" i="3"/>
  <c r="C4" i="4"/>
  <c r="G4" i="3"/>
  <c r="D4" i="4"/>
  <c r="F4" i="4" s="1"/>
  <c r="H4" i="3"/>
  <c r="C3" i="4"/>
  <c r="G3" i="3"/>
  <c r="D3" i="4"/>
  <c r="F3" i="4" s="1"/>
  <c r="H3" i="3"/>
  <c r="C2" i="4"/>
  <c r="G2" i="3"/>
  <c r="O2" i="1"/>
  <c r="E8" i="2"/>
  <c r="F2" i="2"/>
  <c r="F8" i="2" l="1"/>
  <c r="G2" i="2"/>
  <c r="G8" i="2"/>
  <c r="D2" i="4"/>
  <c r="F2" i="4" s="1"/>
  <c r="H2" i="3"/>
</calcChain>
</file>

<file path=xl/sharedStrings.xml><?xml version="1.0" encoding="utf-8"?>
<sst xmlns="http://schemas.openxmlformats.org/spreadsheetml/2006/main" count="454" uniqueCount="370">
  <si>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</si>
  <si>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</si>
  <si>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</si>
  <si>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</si>
  <si>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</si>
  <si>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</si>
  <si>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</si>
  <si>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</si>
  <si>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</si>
  <si>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</si>
  <si>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</si>
  <si>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</si>
  <si>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</si>
  <si>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</si>
  <si>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</si>
  <si>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</si>
  <si>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</si>
  <si>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</si>
  <si>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</si>
  <si>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Presupuestos y previsiones</t>
  </si>
  <si>
    <t>1.1 Gobierno del proceso presupuestario y forecast</t>
  </si>
  <si>
    <t>Evaluar si existe un proceso formal, gobernado y calendarizado para presupuesto, forecast y revisiones periódicas.</t>
  </si>
  <si>
    <t>Proceso ad hoc, con calendario poco formalizado, criterios heterogéneos y dependencia elevada de personas clave.</t>
  </si>
  <si>
    <t>Existe calendario básico y responsables definidos, aunque con variabilidad entre áreas y elevada carga manual.</t>
  </si>
  <si>
    <t>Proceso documentado, con calendario corporativo, roles, entregables, versiones y criterios comunes.</t>
  </si>
  <si>
    <t>Proceso integrado con negocio, operaciones y reporting, con ciclos eficientes, control de versiones y mejora continua.</t>
  </si>
  <si>
    <t>Modelo rolling, ágil y orientado a escenarios, con gobierno colaborativo, alertas tempranas y capacidad de replanificación dinámica.</t>
  </si>
  <si>
    <t>¿Existe calendario formal de presupuesto y forecast?
¿Están definidos roles, responsables y entregables?
¿Se controlan versiones y aprobaciones?
¿El proceso permite reforecast ágil ante cambios?</t>
  </si>
  <si>
    <t>Calendario presupuestario; RACI; workflow de aprobación; plantillas; actas de comités; control de versiones.</t>
  </si>
  <si>
    <t>Diseñar modelo de gobierno FP&amp;A con calendario integrado, RACI, flujo de aprobación, criterios comunes y control de versiones.</t>
  </si>
  <si>
    <t>1.2 Modelo presupuestario y drivers de planificación</t>
  </si>
  <si>
    <t>Evaluar si el presupuesto y forecast se construyen con drivers de negocio y financieros homogéneos, trazables y orientados a valor.</t>
  </si>
  <si>
    <t>Presupuesto incremental o histórico, con limitada conexión a drivers operativos o estratégicos.</t>
  </si>
  <si>
    <t>Se incorporan algunos drivers, pero de forma parcial, manual o no homogénea entre unidades.</t>
  </si>
  <si>
    <t>Modelo presupuestario con drivers definidos, documentados y aplicados de forma consistente.</t>
  </si>
  <si>
    <t>Modelo driver-based integrado con datos operativos, financieros y comerciales, con análisis de sensibilidad.</t>
  </si>
  <si>
    <t>Planificación predictiva y dinámica, con drivers algorítmicos, escenarios automatizados y recomendaciones para la toma de decisiones.</t>
  </si>
  <si>
    <t>¿El presupuesto está basado en drivers?
¿Los drivers están documentados y validados?
¿Se conectan datos financieros y operativos?
¿Se realizan sensibilidades y escenarios?</t>
  </si>
  <si>
    <t>Catálogo de drivers; modelo de planificación; documentación de supuestos; análisis de sensibilidad; inputs operativos.</t>
  </si>
  <si>
    <t>Evolucionar hacia una planificación basada en drivers, con catálogo de drivers, reglas de cálculo, trazabilidad y análisis de sensibilidad.</t>
  </si>
  <si>
    <t>1.3 Integración de escenarios y rolling forecast</t>
  </si>
  <si>
    <t>Evaluar si la organización puede generar escenarios y forecasts actualizados de forma recurrente y útil para decidir.</t>
  </si>
  <si>
    <t>Forecast puntual, manual y principalmente financiero, con baja conexión a cambios del negocio.</t>
  </si>
  <si>
    <t>Forecast recurrente, pero con escenarios limitados y dependencia de Excel o modelos no integrados.</t>
  </si>
  <si>
    <t>Forecast periódico con metodología común, supuestos documentados y escenarios básicos.</t>
  </si>
  <si>
    <t>Rolling forecast integrado con escenarios de negocio, automatización parcial y revisión de desviaciones.</t>
  </si>
  <si>
    <t>Forecast continuo, predictivo y orientado a decisiones, con escenarios automatizados y alertas tempranas.</t>
  </si>
  <si>
    <t>¿Existe rolling forecast?
¿Con qué frecuencia se actualiza?
¿Se documentan supuestos?
¿Se modelizan escenarios alternativos?
¿Se usan alertas tempranas?</t>
  </si>
  <si>
    <t>Modelos de forecast; supuestos; escenarios; calendario de reforecast; reporting de desviaciones; alertas.</t>
  </si>
  <si>
    <t>Implantar previsión continua (rolling forecast) con escenarios base, optimista y pesimista, supuestos documentados y automatización de los datos de entrada críticos.</t>
  </si>
  <si>
    <t>1.4 Colaboración y accountability presupuestaria</t>
  </si>
  <si>
    <t>Evaluar si el proceso presupuestario involucra adecuadamente a negocio, finanzas y owners, con accountability clara.</t>
  </si>
  <si>
    <t>Participación limitada del negocio; Finanzas consolida información sin ownership claro de hipótesis o resultados.</t>
  </si>
  <si>
    <t>Participación de áreas de negocio, pero con responsabilidades parciales o poco formalizadas.</t>
  </si>
  <si>
    <t>Roles definidos por unidad, owner de hipótesis y proceso de validación formalizado.</t>
  </si>
  <si>
    <t>Colaboración integrada, con workflows, trazabilidad de cambios, challenge financiero y seguimiento de compromisos.</t>
  </si>
  <si>
    <t>Accountability completa sobre planes y resultados, con incentivos alineados, colaboración digital y toma de decisiones basada en escenarios.</t>
  </si>
  <si>
    <t>¿Quién es owner de cada hipótesis?
¿Existe challenge financiero al negocio?
¿Se trazan cambios y aprobaciones?
¿La accountability se mantiene tras la aprobación?</t>
  </si>
  <si>
    <t>RACI; workflows; aprobaciones; trazabilidad de cambios; actas de challenge; seguimiento de compromisos.</t>
  </si>
  <si>
    <t>Definir la responsabilidad presupuestaria por dimensión y unidad, con flujo colaborativo, contraste financiero y seguimiento de compromisos.</t>
  </si>
  <si>
    <t>Informes de gestión del rendimiento</t>
  </si>
  <si>
    <t>2.1 Modelo de reporting de performance</t>
  </si>
  <si>
    <t>Evaluar si existe un modelo de reporting de gestión alineado con objetivos, KPIs y necesidades de dirección.</t>
  </si>
  <si>
    <t>Reporting fragmentado, manual y orientado principalmente a información histórica.</t>
  </si>
  <si>
    <t>Reporting recurrente con algunos KPIs definidos, pero con formatos y criterios variables.</t>
  </si>
  <si>
    <t>Modelo de reporting homogéneo, con KPIs, dimensiones, periodicidad y responsables definidos.</t>
  </si>
  <si>
    <t>Reporting integrado con análisis de desviaciones, causas, responsables y acciones de mejora.</t>
  </si>
  <si>
    <t>Performance management dinámico, con KPIs predictivos, alertas y recomendaciones accionables para dirección.</t>
  </si>
  <si>
    <t>¿Existe catálogo de KPIs?
¿El reporting está alineado con objetivos?
¿Incluye análisis causa-raíz?
¿Genera acciones y seguimiento?</t>
  </si>
  <si>
    <t>Catálogo de KPIs; paquetes de reporting; dashboards; actas de revisión; planes de acción.</t>
  </si>
  <si>
    <t>Rediseñar los informes de gestión alrededor de objetivos, KPIs, desviaciones, causas, responsables y acciones.</t>
  </si>
  <si>
    <t>2.2 Análisis de desviaciones y causa-raíz</t>
  </si>
  <si>
    <t>Evaluar la capacidad de explicar desviaciones entre real, presupuesto, forecast y objetivos, identificando causas accionables.</t>
  </si>
  <si>
    <t>Análisis descriptivo y manual, limitado a variaciones agregadas sin explicación estructurada.</t>
  </si>
  <si>
    <t>Se explican desviaciones relevantes, pero con criterios no homogéneos y dependencia de análisis ad hoc.</t>
  </si>
  <si>
    <t>Metodología común de análisis de desviaciones por dimensión, responsable y causa.</t>
  </si>
  <si>
    <t>Análisis integrado con drivers, acciones correctivas, seguimiento y conexión con forecast.</t>
  </si>
  <si>
    <t>Análisis predictivo de desviaciones, con alertas tempranas, simulación de impactos y recomendaciones.</t>
  </si>
  <si>
    <t>¿Se comparan real, presupuesto y forecast?
¿Se explican desviaciones por driver?
¿Hay owners y acciones?
¿El análisis actualiza previsiones?</t>
  </si>
  <si>
    <t>Reportes de desviaciones; árboles de drivers; actas con acciones; forecast actualizado; dashboards.</t>
  </si>
  <si>
    <t>Crear metodología de análisis de desviaciones por driver, dimensión, responsable, causa-raíz, acción y seguimiento.</t>
  </si>
  <si>
    <t>2.3 Cuadros de mando y visualización ejecutiva</t>
  </si>
  <si>
    <t>Evaluar si la organización dispone de dashboards útiles, integrados y accionables para distintos niveles de gestión.</t>
  </si>
  <si>
    <t>Informes estáticos, dispersos y con alta manipulación manual.</t>
  </si>
  <si>
    <t>Dashboards parciales o locales, con cierta automatización pero baja integración.</t>
  </si>
  <si>
    <t>Cuadros de mando definidos por audiencia, con KPIs y dimensiones comunes.</t>
  </si>
  <si>
    <t>Dashboards integrados, autoservicio controlado, drill-down y conexión con acciones de gestión.</t>
  </si>
  <si>
    <t>Visualización ejecutiva avanzada, con conclusiones automáticas, alertas, narrativa analítica y soporte predictivo.</t>
  </si>
  <si>
    <t>¿Existen dashboards por nivel directivo?
¿Permiten drill-down?
¿Hay single source of truth?
¿Se automatiza la generación?</t>
  </si>
  <si>
    <t>Dashboards; modelo semántico; guía de KPIs; evidencias de automatización; accesos por perfil.</t>
  </si>
  <si>
    <t>Implantar cuadro de mando FP&amp;A con KPIs homologados, navegación al detalle, acceso por perfil y automatización de datos.</t>
  </si>
  <si>
    <t>2.4 Rutinas de performance y toma de acciones</t>
  </si>
  <si>
    <t>Evaluar si el reporting se integra en rutinas de gestión que generan decisiones, acciones y seguimiento de impactos.</t>
  </si>
  <si>
    <t>El reporting se distribuye pero no existe rutina formal de revisión ni seguimiento de acciones.</t>
  </si>
  <si>
    <t>Existen reuniones de revisión, pero con baja trazabilidad de decisiones y acciones.</t>
  </si>
  <si>
    <t>Rutinas periódicas de performance con agenda, KPIs, responsables y actas.</t>
  </si>
  <si>
    <t>La revisión conecta desviaciones con acciones, forecast, responsables e impacto esperado.</t>
  </si>
  <si>
    <t>Performance management continuo, integrado con decisiones de negocio, incentivos y mejora predictiva.</t>
  </si>
  <si>
    <t>¿Existen comités de performance?
¿Se documentan decisiones?
¿Se asignan owners?
¿Se mide impacto de acciones?</t>
  </si>
  <si>
    <t>Calendario de comités; actas; trackers de acciones; KPIs de impacto; reportes de seguimiento.</t>
  </si>
  <si>
    <t>Formalizar rutinas de revisión del rendimiento con agenda estándar, registro de acciones, responsables, beneficios esperados y seguimiento.</t>
  </si>
  <si>
    <t>Evaluación business case</t>
  </si>
  <si>
    <t>3.1 Metodología de business case</t>
  </si>
  <si>
    <t>Evaluar si existen criterios homogéneos para construir, revisar y aprobar business cases.</t>
  </si>
  <si>
    <t>Business cases ad hoc, con estructura, supuestos y métricas variables.</t>
  </si>
  <si>
    <t>Plantillas parciales para iniciativas relevantes, con criterios financieros básicos.</t>
  </si>
  <si>
    <t>Metodología común con inversión, costes, beneficios, riesgos, supuestos y métricas financieras.</t>
  </si>
  <si>
    <t>Metodología integrada con escenarios, sensibilidad, dependencias, beneficios no financieros y gobierno de aprobación.</t>
  </si>
  <si>
    <t>Gestión de la cartera de iniciativas basada en valor, con priorización dinámica, seguimiento de beneficios y aprendizaje posterior a la implantación.</t>
  </si>
  <si>
    <t>¿Existe plantilla estándar?
¿Qué métricas se usan?
¿Se documentan supuestos y riesgos?
¿Se revisan beneficios después?</t>
  </si>
  <si>
    <t>Plantillas; guías metodológicas; comités de inversión; KPIs ROI/NPV/payback; registros de supuestos.</t>
  </si>
  <si>
    <t>Diseñar metodología corporativa de business case con plantillas, métricas, supuestos, riesgos, escenarios y gobierno de aprobación.</t>
  </si>
  <si>
    <t>3.2 Modelización financiera de iniciativas</t>
  </si>
  <si>
    <t>Evaluar si los business cases incluyen modelos financieros robustos, trazables y comparables.</t>
  </si>
  <si>
    <t>Modelos manuales no homogéneos y difíciles de comparar entre iniciativas.</t>
  </si>
  <si>
    <t>Modelos básicos de costes/beneficios, con algunas métricas comunes.</t>
  </si>
  <si>
    <t>Modelos financieros homogéneos, con supuestos, flujos, inversión, costes, beneficios y sensibilidad básica.</t>
  </si>
  <si>
    <t>Modelos integrados con escenarios, impactos P&amp;L/cash/balance, riesgos y dependencias.</t>
  </si>
  <si>
    <t>Modelización avanzada con simulación, probabilización de escenarios y recomendaciones de priorización.</t>
  </si>
  <si>
    <t>¿Los modelos son comparables?
¿Incluyen P&amp;L, cash y balance?
¿Hay sensibilidad?
¿Se documentan supuestos?</t>
  </si>
  <si>
    <t>Modelos financieros; bibliotecas de supuestos; análisis de sensibilidad; outputs de comité; documentación metodológica.</t>
  </si>
  <si>
    <t>Construir modelo financiero estándar para iniciativas con cuenta de resultados, caja, balance, sensibilidad, escenarios y trazabilidad de supuestos.</t>
  </si>
  <si>
    <t>3.3 Priorización y asignación de capital</t>
  </si>
  <si>
    <t>Evaluar si los business cases se usan para priorizar iniciativas y asignar recursos de forma objetiva.</t>
  </si>
  <si>
    <t>Priorización basada en urgencia o criterio cualitativo, sin metodología común.</t>
  </si>
  <si>
    <t>Se consideran criterios financieros básicos, pero no existe scoring homogéneo.</t>
  </si>
  <si>
    <t>Matriz común de priorización con valor, esfuerzo, riesgo, alineamiento estratégico y capacidad de ejecución.</t>
  </si>
  <si>
    <t>Priorización integrada con planificación financiera, portfolio, dependencias y disponibilidad presupuestaria.</t>
  </si>
  <si>
    <t>Asignación dinámica de capital y recursos basada en valor ajustado por riesgo, escenarios y seguimiento de beneficios.</t>
  </si>
  <si>
    <t>¿Existe scoring de iniciativas?
¿Se prioriza por valor/esfuerzo/riesgo?
¿Se consideran dependencias y capacidad?
¿Se revisa el portfolio periódicamente?</t>
  </si>
  <si>
    <t>Matriz de priorización; portfolio de iniciativas; actas de comité; criterios de inversión; roadmap financiero.</t>
  </si>
  <si>
    <t>Crear modelo de priorización de iniciativas basado en valor, esfuerzo, riesgo, alineamiento, dependencias y capacidad de ejecución.</t>
  </si>
  <si>
    <t>3.4 Seguimiento de beneficios y post-mortem</t>
  </si>
  <si>
    <t>Evaluar si los beneficios comprometidos en business cases se monitorizan y se extraen aprendizajes.</t>
  </si>
  <si>
    <t>No se realiza seguimiento sistemático de beneficios tras aprobación.</t>
  </si>
  <si>
    <t>Seguimiento parcial de iniciativas relevantes, normalmente financiero y manual.</t>
  </si>
  <si>
    <t>Tracking periódico de beneficios vs business case, con owners y métricas definidas.</t>
  </si>
  <si>
    <t>Seguimiento de beneficios integrado con reporting, forecast, acciones correctivas y revisión de supuestos.</t>
  </si>
  <si>
    <t>Gestión continua de beneficios, con post-mortems, aprendizaje organizativo y recalibración de modelos de decisión.</t>
  </si>
  <si>
    <t>¿Se miden beneficios reales vs estimados?
¿Hay owners de beneficios?
¿Se hacen post-mortems?
¿Los aprendizajes mejoran futuros business cases?</t>
  </si>
  <si>
    <t>Benefit tracker; informes post-implementación; actas de revisión; acciones correctivas; repositorio de aprendizajes.</t>
  </si>
  <si>
    <t>Implantar seguimiento de beneficios con responsables, métricas, línea base, revisiones periódicas y revisión posterior a la implantación.</t>
  </si>
  <si>
    <t>Información y apoyo a la toma de decisiones</t>
  </si>
  <si>
    <t>4.1 Modelo de información para la decisión</t>
  </si>
  <si>
    <t>Evaluar si FP&amp;A proporciona información relevante, fiable y accionable para decisiones estratégicas y operativas.</t>
  </si>
  <si>
    <t>Información dispersa, con baja trazabilidad y foco principalmente descriptivo.</t>
  </si>
  <si>
    <t>Información recurrente para algunas decisiones, pero con calidad y criterios variables.</t>
  </si>
  <si>
    <t>Modelo de información definido, con KPIs, dimensiones, fuentes y reglas de cálculo comunes.</t>
  </si>
  <si>
    <t>Información integrada, trazable, orientada a decisión y conectada con análisis de escenarios.</t>
  </si>
  <si>
    <t>Inteligencia de decisión con conclusiones predictivas, recomendaciones y autoservicio analítico gobernado para la dirección.</t>
  </si>
  <si>
    <t>¿Qué decisiones soporta FP&amp;A?
¿Existe modelo común de datos y KPIs?
¿La información es trazable?
¿Se ofrecen recomendaciones?</t>
  </si>
  <si>
    <t>Mapa de decisiones; catálogo de KPIs; modelo de datos; gobierno de definiciones; dashboards ejecutivos.</t>
  </si>
  <si>
    <t>Definir mapa de decisiones FP&amp;A y modelo de información asociado, con KPIs, dimensiones, reglas de cálculo y fuentes oficiales.</t>
  </si>
  <si>
    <t>4.2 Análisis avanzado y escenarios para decisión</t>
  </si>
  <si>
    <t>Evaluar si FP&amp;A genera análisis prospectivos y escenarios para apoyar decisiones relevantes.</t>
  </si>
  <si>
    <t>Análisis principalmente histórico y descriptivo, con baja capacidad prospectiva.</t>
  </si>
  <si>
    <t>Escenarios puntuales para decisiones relevantes, construidos de forma manual.</t>
  </si>
  <si>
    <t>Metodología común de escenarios para decisiones recurrentes, con supuestos documentados.</t>
  </si>
  <si>
    <t>Escenarios integrados con drivers, sensibilidad, forecast y análisis de impacto financiero-operativo.</t>
  </si>
  <si>
    <t>Análisis predictivo/prescriptivo con simulación continua, alertas y recomendaciones de decisión.</t>
  </si>
  <si>
    <t>¿Se generan escenarios para decisiones clave?
¿Se documentan supuestos?
¿Se calcula impacto financiero-operativo?
¿Se usan modelos predictivos?</t>
  </si>
  <si>
    <t>Modelos de escenarios; análisis de sensibilidad; documentación de supuestos; dashboards; outputs de comités.</t>
  </si>
  <si>
    <t>Crear marco de análisis de escenarios para decisiones clave, con drivers, impactos, sensibilidad y recomendaciones.</t>
  </si>
  <si>
    <t>4.3 Finance business partnering y challenge al negocio</t>
  </si>
  <si>
    <t>Evaluar si FP&amp;A actúa como partner del negocio, retando hipótesis y facilitando decisiones basadas en datos.</t>
  </si>
  <si>
    <t>FP&amp;A actúa principalmente como generador de información, con limitada influencia en decisiones.</t>
  </si>
  <si>
    <t>Participa en algunas decisiones, pero con rol variable según área o persona.</t>
  </si>
  <si>
    <t>Rol de business partner definido, con participación formal en ciclos de gestión y decisiones relevantes.</t>
  </si>
  <si>
    <t>FP&amp;A desafía hipótesis, aporta insights, anticipa impactos y co-lidera decisiones con negocio.</t>
  </si>
  <si>
    <t>FP&amp;A es asesor estratégico del negocio, con influencia sistemática, capacidades analíticas avanzadas y foco en generación de valor.</t>
  </si>
  <si>
    <t>¿FP&amp;A participa en decisiones clave?
¿Tiene mandato para retar hipótesis?
¿Existen business partners por unidad?
¿Se mide el valor aportado?</t>
  </si>
  <si>
    <t>Modelo organizativo; RACI; agendas de comités; actas de decisiones; objetivos de business partnering; feedback del negocio.</t>
  </si>
  <si>
    <t>Definir modelo de Finanzas como socio del negocio (business partnering) con roles, responsabilidades, foros de decisión, capacidades requeridas y métricas de valor.</t>
  </si>
  <si>
    <t>4.4 Narrativa financiera y comunicación ejecutiva</t>
  </si>
  <si>
    <t>Evaluar si FP&amp;A traduce datos y análisis en una narrativa clara, ejecutiva y orientada a acción.</t>
  </si>
  <si>
    <t>Comunicación basada en tablas y datos, con limitada interpretación o mensaje ejecutivo.</t>
  </si>
  <si>
    <t>Se preparan resúmenes ejecutivos, pero con variabilidad en calidad, foco y accionabilidad.</t>
  </si>
  <si>
    <t>Narrativa financiera estructurada, con mensajes clave, desviaciones, riesgos, oportunidades y acciones.</t>
  </si>
  <si>
    <t>Storytelling financiero integrado con dashboards, escenarios, decisiones requeridas y seguimiento.</t>
  </si>
  <si>
    <t>Narrativa ejecutiva dinámica, basada en conclusiones automáticas, anticipación de riesgos y recomendaciones de decisión.</t>
  </si>
  <si>
    <t>¿Los informes incluyen mensajes ejecutivos?
¿Se explican implicaciones y decisiones requeridas?
¿Se comunican riesgos y oportunidades?
¿Se adaptan a cada audiencia?</t>
  </si>
  <si>
    <t>Pack ejecutivo; comité de dirección; dashboards con narrativa; one-pagers; recomendaciones documentadas.</t>
  </si>
  <si>
    <t>Estandarizar narrativa FP&amp;A con estructura de mensaje ejecutivo, drivers, riesgos, oportunidades, decisiones requeridas y acciones.</t>
  </si>
  <si>
    <t>Planificación largo plazo</t>
  </si>
  <si>
    <t>5.1 Plan financiero estratégico y horizonte plurianual</t>
  </si>
  <si>
    <t>Evaluar si FP&amp;A desarrolla proyecciones financieras estratégicas de largo plazo alineadas con la visión corporativa.</t>
  </si>
  <si>
    <t>La planificación largo plazo es puntual, manual y poco integrada con estrategia o presupuesto.</t>
  </si>
  <si>
    <t>Existen proyecciones plurianuales básicas, con supuestos financieros y revisión ocasional.</t>
  </si>
  <si>
    <t>Plan financiero plurianual documentado, vinculado a estrategia, presupuesto y KPIs corporativos.</t>
  </si>
  <si>
    <t>Plan largo plazo integrado con escenarios, drivers estratégicos, capital allocation y seguimiento periódico.</t>
  </si>
  <si>
    <t>Planificación estratégica continua, dinámica y predictiva, con simulación de escenarios disruptivos y recomendaciones de asignación de recursos.</t>
  </si>
  <si>
    <t>¿Existe plan financiero plurianual?
¿Está vinculado a estrategia y presupuesto?
¿Se revisa periódicamente?
¿Incluye escenarios y drivers estratégicos?</t>
  </si>
  <si>
    <t>Plan financiero estratégico; supuestos; escenarios; KPIs plurianuales; actas de revisión estratégica.</t>
  </si>
  <si>
    <t>Desarrollar plan financiero plurianual integrado con estrategia, drivers, escenarios, KPIs y proceso de revisión periódica.</t>
  </si>
  <si>
    <t>5.2 Escenarios estratégicos y stress testing</t>
  </si>
  <si>
    <t>Evaluar si la organización anticipa posibles escenarios futuros y su impacto financiero.</t>
  </si>
  <si>
    <t>No se realizan escenarios estratégicos sistemáticos o se hacen de forma cualitativa.</t>
  </si>
  <si>
    <t>Escenarios puntuales ante eventos relevantes, con modelización limitada.</t>
  </si>
  <si>
    <t>Metodología común de escenarios estratégicos con variables clave y cuantificación financiera.</t>
  </si>
  <si>
    <t>Stress testing integrado con planificación, riesgos, liquidez, rentabilidad y decisiones de gestión.</t>
  </si>
  <si>
    <t>Simulación avanzada de escenarios, con modelización probabilística, alertas y planes de contingencia predefinidos.</t>
  </si>
  <si>
    <t>¿Se realizan escenarios estratégicos?
¿Se cuantifican impactos financieros?
¿Se conectan con riesgos y liquidez?
¿Hay planes de contingencia?</t>
  </si>
  <si>
    <t>Modelos de escenarios; stress tests; supuestos macro/operativos; planes de contingencia; actas de comité.</t>
  </si>
  <si>
    <t>Crear metodología de escenarios estratégicos y pruebas de estrés con variables clave, impactos financieros y planes de respuesta.</t>
  </si>
  <si>
    <t>5.3 Conexión entre estrategia, presupuesto y ejecución</t>
  </si>
  <si>
    <t>Evaluar si la planificación largo plazo se traduce en presupuesto, iniciativas, KPIs y seguimiento de ejecución.</t>
  </si>
  <si>
    <t>Estrategia, presupuesto e iniciativas se gestionan de forma desconectada.</t>
  </si>
  <si>
    <t>Existen vínculos parciales, pero con baja trazabilidad entre estrategia y presupuesto.</t>
  </si>
  <si>
    <t>La estrategia se traduce en objetivos, presupuesto, iniciativas y KPIs de seguimiento.</t>
  </si>
  <si>
    <t>Conexión integrada entre estrategia, capital allocation, presupuesto, forecast y performance management.</t>
  </si>
  <si>
    <t>Modelo cerrado de estrategia, ejecución y aprendizaje, con retroalimentación continua, reasignación dinámica y gestión de la cartera de iniciativas.</t>
  </si>
  <si>
    <t>¿La estrategia se traduce en objetivos financieros?
¿Se conecta con presupuesto?
¿Se monitorizan iniciativas estratégicas?
¿Se reasignan recursos según evolución?</t>
  </si>
  <si>
    <t>Mapa estratégico; KPIs; presupuesto por iniciativas; portfolio; comités de seguimiento; roadmap estratégico.</t>
  </si>
  <si>
    <t>Diseñar puente estrategia-presupuesto-ejecución con objetivos financieros, iniciativas, KPIs, responsables y seguimiento de recursos.</t>
  </si>
  <si>
    <t>5.4 Seguimiento de creación de valor a largo plazo</t>
  </si>
  <si>
    <t>Evaluar si FP&amp;A mide la creación de valor asociada a planes e iniciativas estratégicas a lo largo del tiempo.</t>
  </si>
  <si>
    <t>No existe seguimiento estructurado de creación de valor a largo plazo.</t>
  </si>
  <si>
    <t>Se revisan métricas financieras agregadas, pero sin conexión clara con iniciativas estratégicas.</t>
  </si>
  <si>
    <t>KPIs de valor definidos y seguimiento periódico de avance frente al plan estratégico.</t>
  </si>
  <si>
    <t>Seguimiento integrado de valor, riesgos, beneficios, cash, rentabilidad e iniciativas, con acciones correctivas.</t>
  </si>
  <si>
    <t>Gestión activa de creación de valor, con métricas anticipativas, reasignación dinámica de capital y aprendizaje continuo.</t>
  </si>
  <si>
    <t>¿Se mide creación de valor a largo plazo?
¿Se conectan KPIs con iniciativas estratégicas?
¿Se revisan beneficios y riesgos?
¿Se toman acciones de reasignación?</t>
  </si>
  <si>
    <t>KPIs de valor; benefit tracking estratégico; reportes de plan; actas de comité; decisiones de reasignación.</t>
  </si>
  <si>
    <t>Implantar modelo de seguimiento de creación de valor con KPIs, beneficios, riesgos, responsables y revisión periódica de asignación de recursos.</t>
  </si>
  <si>
    <t>Score global dominio</t>
  </si>
  <si>
    <t>Procesos</t>
  </si>
  <si>
    <t>Tecnología</t>
  </si>
  <si>
    <t>Organización</t>
  </si>
  <si>
    <t>Score medio</t>
  </si>
  <si>
    <t>Gap</t>
  </si>
  <si>
    <t>Oleada</t>
  </si>
  <si>
    <t>Owner</t>
  </si>
  <si>
    <t>Estado</t>
  </si>
  <si>
    <t>Comentarios</t>
  </si>
  <si>
    <t>No iniciado</t>
  </si>
  <si>
    <t>F3M - FP&amp;A | Assessment-ready</t>
  </si>
  <si>
    <t>Uso del fichero</t>
  </si>
  <si>
    <t>1. En 'Assessment', puntuar cada subcapacidad en las tres palancas: Procesos, Tecnología y Organización.</t>
  </si>
  <si>
    <t>2. Utilizar valores enteros de 1 a 5, donde 1 = Inicial y 5 = Avanzado/Referente.</t>
  </si>
  <si>
    <t>3. El Score Medio, Nivel resultante, Gap y Prioridad se calculan automáticamente.</t>
  </si>
  <si>
    <t>4. Objetivo de madurez utilizado para el gap: Nivel 4 - Optimizado.</t>
  </si>
  <si>
    <t>5. 'Resumen' consolida resultados por capacidad y gráfico ejecutivo.</t>
  </si>
  <si>
    <t>6. 'Heatmap' facilita la lectura visual por subcapacidad y palanca.</t>
  </si>
  <si>
    <t>7. 'Roadmap' convierte gaps en iniciativas sugeridas y oleadas.</t>
  </si>
  <si>
    <t>Escala F3M</t>
  </si>
  <si>
    <t>1 - Inicial: modelo básico, operativo, heterogéneo y poco formalizado.</t>
  </si>
  <si>
    <t>2 - Estructurado: prácticas definidas, con consistencia parcial y dependencias manuales.</t>
  </si>
  <si>
    <t>3 - Estandarizado: modelo homogéneo, documentado, consistente y controlado.</t>
  </si>
  <si>
    <t>4 - Optimizado: modelo integrado, con mejora continua, métricas y foco en eficiencia/control.</t>
  </si>
  <si>
    <t>5 - Avanzado/Referente: modelo maduro, estratégico, anticipativo y orientado a generación de valor.</t>
  </si>
  <si>
    <t>GUÍAS DE SCORING F3M</t>
  </si>
  <si>
    <t>PROCESOS</t>
  </si>
  <si>
    <t>Nivel 1 - Inicial: No existe proceso formal o es ad hoc</t>
  </si>
  <si>
    <t>Nivel 2 - Estructurado: Proceso parcial o inconsistente</t>
  </si>
  <si>
    <t>Nivel 3 - Estandarizado: Proceso homogéneo y documentado</t>
  </si>
  <si>
    <t>Nivel 4 - Optimizado: Proceso medido y eficiente</t>
  </si>
  <si>
    <t>Nivel 5 - Avanzado: Proceso integrado y orientado a decisiones</t>
  </si>
  <si>
    <t>Checklist:</t>
  </si>
  <si>
    <t>- Existe proceso formal</t>
  </si>
  <si>
    <t>- Es consistente</t>
  </si>
  <si>
    <t>- Está medido</t>
  </si>
  <si>
    <t>- Impacta decisiones</t>
  </si>
  <si>
    <t>TECNOLOGÍA</t>
  </si>
  <si>
    <t>Nivel 1 - Inicial: Excel/manual</t>
  </si>
  <si>
    <t>Nivel 2 - Estructurado: Herramientas parciales</t>
  </si>
  <si>
    <t>Nivel 3 - Estandarizado: Herramienta corporativa</t>
  </si>
  <si>
    <t>Nivel 4 - Optimizado: Integración y automatización</t>
  </si>
  <si>
    <t>Nivel 5 - Avanzado: Predictivo / IA</t>
  </si>
  <si>
    <t>- Herramienta estructurada</t>
  </si>
  <si>
    <t>- Integración</t>
  </si>
  <si>
    <t>- Automatización</t>
  </si>
  <si>
    <t>- Soporte a decisiones</t>
  </si>
  <si>
    <t>ORGANIZACIÓN</t>
  </si>
  <si>
    <t>Nivel 1 - Inicial: Roles no claros</t>
  </si>
  <si>
    <t>Nivel 2 - Estructurado: Roles parciales</t>
  </si>
  <si>
    <t>PREGUNTAS DE CALIBRACIÓN</t>
  </si>
  <si>
    <t>¿La capacidad funciona de forma consistente en toda la organización?</t>
  </si>
  <si>
    <t>¿Existe evidencia documentada del nivel seleccionado?</t>
  </si>
  <si>
    <t>¿La tecnología soporta realmente el proceso o existen soluciones manuales relevantes?</t>
  </si>
  <si>
    <t>¿La organización usa activamente la información para decidir?</t>
  </si>
  <si>
    <t>¿Existen capacidades predictivas o AI en producción?</t>
  </si>
  <si>
    <t>- Participación en decisiones</t>
  </si>
  <si>
    <t>- Influencia estratégica</t>
  </si>
  <si>
    <t>REGLAS DE ORO</t>
  </si>
  <si>
    <t>- Evaluar situación actual</t>
  </si>
  <si>
    <t>- No mezclar palancas</t>
  </si>
  <si>
    <t>- Basar en evidencias</t>
  </si>
  <si>
    <t>- No sobrevalorar tecnología</t>
  </si>
  <si>
    <t>Casos de uso AI asociados</t>
  </si>
  <si>
    <t>Aplicación en nivel avanzado</t>
  </si>
  <si>
    <t>Fuente</t>
  </si>
  <si>
    <t>1.1-1.4</t>
  </si>
  <si>
    <t>Desarrollo de flujos guiados para la elaboración de presupuestos; Previsión y modelización de escenarios bajo demanda; Asignación presupuestaria asistida por IA</t>
  </si>
  <si>
    <t>Planificación driver-based, rolling forecast, escenarios automatizados y workflows colaborativos</t>
  </si>
  <si>
    <t>F3M_AI_Mapping_Consolidado_v1.xlsx</t>
  </si>
  <si>
    <t>2.1-2.4</t>
  </si>
  <si>
    <t>Informes de gestión con real, plan, desviación y comentario; Generación de análisis de desviaciones de cuentas con explicaciones inteligentes; FinanceAI Insights Platform</t>
  </si>
  <si>
    <t>Reporting automatizado con commentary, insights, alertas y explicación de desviaciones</t>
  </si>
  <si>
    <t>3.1-3.4</t>
  </si>
  <si>
    <t>Resumen y puntuación de propuestas de proyecto; Recomendaciones a nivel de proyecto</t>
  </si>
  <si>
    <t>Scoring de iniciativas, priorización dinámica y seguimiento de beneficios</t>
  </si>
  <si>
    <t>4.1-4.4</t>
  </si>
  <si>
    <t>Realización de análisis e investigación con conclusiones bajo demanda; Acceso a datos para toda la organización; Búsqueda y acceso a datos en toda la compañía</t>
  </si>
  <si>
    <t>Decision intelligence, insights predictivos y autoservicio gobernado</t>
  </si>
  <si>
    <t>5.1-5.4</t>
  </si>
  <si>
    <t>Generación de estrategias de inversión; Identificación de patrones para predecir el rendimiento financiero futuro; Planificación integrada de negocio</t>
  </si>
  <si>
    <t>Planificación estratégica continua, simulación avanzada y asignación dinámica de recursos</t>
  </si>
  <si>
    <t>Nivel 3 - Estandarizado: Roles definidos</t>
  </si>
  <si>
    <t>Nivel 4 - Optimizado: Business partnering</t>
  </si>
  <si>
    <t>Nivel 5 - Avanzado: Influencia estratégica</t>
  </si>
  <si>
    <t>- Roles claros</t>
  </si>
  <si>
    <t>- Accountability</t>
  </si>
  <si>
    <t xml:space="preserve">Desarrollo de flujos guiados para la elaboración de presupuestos; Previsión y modelización de escenarios bajo demanda</t>
  </si>
  <si>
    <t xml:space="preserve">IA guía el calendario presupuestario, detecta retrasos y dependencias entre áreas y propone la replanificación cuando cambian los supuestos.</t>
  </si>
  <si>
    <t xml:space="preserve">Desarrollo de flujos guiados para la elaboración de presupuestos; Asignación presupuestaria asistida por IA; Identificación de patrones para predecir el rendimiento financiero futuro</t>
  </si>
  <si>
    <t xml:space="preserve">IA identifica los drivers que mejor explican el resultado, propone sus valores de partida y cuantifica la sensibilidad de cada uno.</t>
  </si>
  <si>
    <t xml:space="preserve">Previsión y modelización de escenarios bajo demanda; Identificación de patrones para predecir el rendimiento financiero futuro</t>
  </si>
  <si>
    <t xml:space="preserve">IA genera el forecast de forma continua, construye escenarios alternativos bajo demanda y alerta cuando la desviación esperada supera el umbral.</t>
  </si>
  <si>
    <t xml:space="preserve">Desarrollo de flujos guiados para la elaboración de presupuestos; FinanceAI Insights Platform</t>
  </si>
  <si>
    <t xml:space="preserve">IA guía la aportación de cada responsable, valida su coherencia con los drivers acordados y da seguimiento a los compromisos adquiridos.</t>
  </si>
  <si>
    <t xml:space="preserve">Informes de gestión con real, plan, desviación y comentario; FinanceAI Insights Platform</t>
  </si>
  <si>
    <t xml:space="preserve">IA produce el informe de gestión con la desviación calculada y el comentario redactado, y ajusta el nivel de detalle a cada destinatario.</t>
  </si>
  <si>
    <t xml:space="preserve">Generación de análisis de desviaciones de cuentas con explicaciones inteligentes; Identificación de patrones para predecir el rendimiento financiero futuro</t>
  </si>
  <si>
    <t xml:space="preserve">IA descompone la desviación por driver, identifica la causa raíz y anticipa si la brecha se va a cerrar o a ampliar.</t>
  </si>
  <si>
    <t xml:space="preserve">FinanceAI Insights Platform; Búsqueda y acceso a datos en toda la compañía</t>
  </si>
  <si>
    <t xml:space="preserve">IA acompaña el cuadro de mando con conclusiones automáticas, alertas y respuesta a preguntas en lenguaje natural sobre el propio dato.</t>
  </si>
  <si>
    <t xml:space="preserve">Informes de gestión con real, plan, desviación y comentario; Recomendaciones a nivel de proyecto</t>
  </si>
  <si>
    <t xml:space="preserve">IA prepara la reunión de seguimiento con las desviaciones relevantes, las acciones pendientes y una recomendación priorizada para cada una.</t>
  </si>
  <si>
    <t xml:space="preserve">Resumen y puntuación de propuestas de proyecto</t>
  </si>
  <si>
    <t xml:space="preserve">IA revisa que cada business case cumpla la plantilla corporativa, resume su propuesta y señala los supuestos que quedan sin justificar.</t>
  </si>
  <si>
    <t xml:space="preserve">Previsión y modelización de escenarios bajo demanda; Resumen y puntuación de propuestas de proyecto</t>
  </si>
  <si>
    <t xml:space="preserve">IA construye los escenarios del business case, prueba la sensibilidad de los supuestos y compara el modelo con iniciativas anteriores comparables.</t>
  </si>
  <si>
    <t xml:space="preserve">Resumen y puntuación de propuestas de proyecto; Asignación presupuestaria asistida por IA</t>
  </si>
  <si>
    <t xml:space="preserve">IA puntúa y ordena la cartera de iniciativas por valor ajustado a riesgo y propone cómo repartir el capital disponible entre ellas.</t>
  </si>
  <si>
    <t xml:space="preserve">Recomendaciones a nivel de proyecto; Identificación de patrones para predecir el rendimiento financiero futuro</t>
  </si>
  <si>
    <t xml:space="preserve">IA compara el beneficio real con el comprometido, explica la diferencia y devuelve el aprendizaje a los supuestos de los siguientes business cases.</t>
  </si>
  <si>
    <t xml:space="preserve">Búsqueda y acceso a datos en toda la compañía; Realización de análisis e investigación con conclusiones bajo demanda</t>
  </si>
  <si>
    <t xml:space="preserve">IA localiza el dato en cualquier sistema, indica de qué fuente oficial procede y responde en lenguaje natural sobre la cifra que sustenta la decisión.</t>
  </si>
  <si>
    <t xml:space="preserve">IA simula el impacto financiero de cada alternativa, estima su probabilidad y recomienda la opción con mejor relación entre valor y riesgo.</t>
  </si>
  <si>
    <t xml:space="preserve">Realización de análisis e investigación con conclusiones bajo demanda; Acceso a datos para toda la organización</t>
  </si>
  <si>
    <t xml:space="preserve">IA prepara el contraste con negocio: reúne la evidencia, cuestiona los supuestos optimistas y propone las preguntas que conviene plantear.</t>
  </si>
  <si>
    <t xml:space="preserve">Generación de análisis de desviaciones de cuentas con explicaciones inteligentes; FinanceAI Insights Platform</t>
  </si>
  <si>
    <t xml:space="preserve">IA redacta el mensaje ejecutivo a partir de las cifras: drivers, riesgos, decisiones que se piden y acciones propuestas.</t>
  </si>
  <si>
    <t xml:space="preserve">Generación de estrategias de inversión; Planificación integrada de negocio</t>
  </si>
  <si>
    <t xml:space="preserve">IA proyecta el plan plurianual sobre drivers estratégicos, lo actualiza con señales de mercado y propone dónde asignar los recursos.</t>
  </si>
  <si>
    <t xml:space="preserve">Previsión y modelización de escenarios bajo demanda; Generación de estrategias de inversión</t>
  </si>
  <si>
    <t xml:space="preserve">IA simula escenarios disruptivos, cuantifica su impacto en resultado, caja y solvencia, y propone el plan de contingencia asociado.</t>
  </si>
  <si>
    <t xml:space="preserve">Planificación integrada de negocio; Recomendaciones a nivel de proyecto</t>
  </si>
  <si>
    <t xml:space="preserve">IA conecta objetivos estratégicos, presupuesto e iniciativas, detecta dónde se rompe la cadena y propone la reasignación de recursos.</t>
  </si>
  <si>
    <t xml:space="preserve">Identificación de patrones para predecir el rendimiento financiero futuro; Generación de estrategias de inversión</t>
  </si>
  <si>
    <t xml:space="preserve">IA mide la creación de valor de cada plan, la anticipa con indicadores adelantados y recomienda reasignar capital antes de que se deteriore.</t>
  </si>
  <si>
    <t xml:space="preserve">Flujos guiados de elaboración presupuestaria; Previsión y escenarios bajo demanda</t>
  </si>
  <si>
    <t xml:space="preserve">Flujos guiados de elaboración presupuestaria; Asignación presupuestaria asistida por IA; Patrones históricos para predecir el rendimiento</t>
  </si>
  <si>
    <t xml:space="preserve">Previsión y escenarios bajo demanda; Patrones históricos para predecir el rendimiento</t>
  </si>
  <si>
    <t xml:space="preserve">Flujos guiados de elaboración presupuestaria; Analista digital de Finanzas bajo demanda</t>
  </si>
  <si>
    <t xml:space="preserve">Informes de gestión con comentario automático; Analista digital de Finanzas bajo demanda</t>
  </si>
  <si>
    <t xml:space="preserve">Análisis de desviaciones con explicación automática; Patrones históricos para predecir el rendimiento</t>
  </si>
  <si>
    <t xml:space="preserve">Analista digital de Finanzas bajo demanda; Consulta del dato en lenguaje natural</t>
  </si>
  <si>
    <t xml:space="preserve">Informes de gestión con comentario automático; Recomendaciones de acción a nivel de proyecto; Reporting estandarizado de revisión de desempeño</t>
  </si>
  <si>
    <t xml:space="preserve">Resumen y puntuación de propuestas de inversión</t>
  </si>
  <si>
    <t xml:space="preserve">Previsión y escenarios bajo demanda; Resumen y puntuación de propuestas de inversión</t>
  </si>
  <si>
    <t xml:space="preserve">Resumen y puntuación de propuestas de inversión; Asignación presupuestaria asistida por IA</t>
  </si>
  <si>
    <t xml:space="preserve">Recomendaciones de acción a nivel de proyecto; Patrones históricos para predecir el rendimiento</t>
  </si>
  <si>
    <t xml:space="preserve">Consulta del dato en lenguaje natural; Analista digital de Finanzas bajo demanda</t>
  </si>
  <si>
    <t xml:space="preserve">Previsión y escenarios bajo demanda; Patrones históricos para predecir el rendimiento; Modelos retadores para contrastar escenarios</t>
  </si>
  <si>
    <t xml:space="preserve">Análisis de desviaciones con explicación automática; Analista digital de Finanzas bajo demanda</t>
  </si>
  <si>
    <t xml:space="preserve">Previsión y escenarios bajo demanda; Generación de estrategias de inversión</t>
  </si>
  <si>
    <t xml:space="preserve">Planificación integrada de negocio; Recomendaciones de acción a nivel de proyecto</t>
  </si>
  <si>
    <t xml:space="preserve">Patrones históricos para predecir el rendimiento; Generación de estrategias de inversión</t>
  </si>
  <si>
    <t xml:space="preserve">Resumen y puntuación de propuestas de inversión; Recomendaciones de acción a nivel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</si>
</sst>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12">
    <dxf>
      <fill>
        <patternFill patternType="solid">
          <fgColor rgb="FF63BE7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8696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Score medio por capacidad FP&amp;A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Resumen!$A$2:$A$6</c:f>
              <c:strCache>
                <c:ptCount val="5"/>
                <c:pt idx="0">
                  <c:v>Presupuestos y previsiones</c:v>
                </c:pt>
                <c:pt idx="1">
                  <c:v>Informes de gestión del rendimiento</c:v>
                </c:pt>
                <c:pt idx="2">
                  <c:v>Evaluación business case</c:v>
                </c:pt>
                <c:pt idx="3">
                  <c:v>Información y apoyo a la toma de decisiones</c:v>
                </c:pt>
                <c:pt idx="4">
                  <c:v>Planificación largo plazo</c:v>
                </c:pt>
              </c:strCache>
            </c:strRef>
          </c:cat>
          <c:val>
            <c:numRef>
              <c:f>Resumen!$E$2:$E$6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6-4F0D-B25A-E110C6E83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="90" zoomScaleNormal="90" workbookViewId="0">
      <selection activeCell="A21" sqref="A21"/>
    </sheetView>
  </sheetViews>
  <sheetFormatPr defaultRowHeight="15" x14ac:dyDescent="0.25"/>
  <cols>
    <col min="1" max="1" width="34" customWidth="1"/>
    <col min="2" max="2" width="48" customWidth="1"/>
    <col min="3" max="3" width="58" customWidth="1"/>
    <col min="4" max="7" width="50" customWidth="1"/>
    <col min="8" max="8" width="55" customWidth="1"/>
    <col min="9" max="9" width="14" customWidth="1"/>
    <col min="10" max="10" width="16" customWidth="1"/>
    <col min="11" max="11" width="18" customWidth="1"/>
    <col min="12" max="12" width="13" customWidth="1"/>
    <col min="13" max="13" width="24" customWidth="1"/>
    <col min="14" max="14" width="13" customWidth="1"/>
    <col min="15" max="15" width="12" customWidth="1"/>
    <col min="16" max="16" width="58" customWidth="1"/>
    <col min="17" max="17" width="52" customWidth="1"/>
    <col min="18" max="18" width="65" customWidth="1"/>
    <col min="19" max="19" width="45" customWidth="1"/>
  </cols>
  <sheetData>
    <row r="1" spans="1:19" ht="42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95.1" customHeight="1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/>
      <c r="J2" s="1"/>
      <c r="K2" s="1"/>
      <c r="L2" s="1">
        <f t="shared" ref="L2:L21" si="0">IF(COUNTA(I2:K2)=0,"",ROUND(AVERAGE(I2:K2),2))</f>
        <v>3</v>
      </c>
      <c r="M2" s="1" t="str">
        <f t="shared" ref="M2:M21" si="1">IF(L2="","",IF(L2&lt;1.5,"1 - Inicial",IF(L2&lt;2.5,"2 - Estructurado",IF(L2&lt;3.5,"3 - Estandarizado",IF(L2&lt;4.5,"4 - Optimizado","5 - Avanzado/Referente")))))</f>
        <v>3 - Estandarizado</v>
      </c>
      <c r="N2" s="1">
        <f t="shared" ref="N2:N21" si="2">IF(L2="","",MAX(0,4-L2))</f>
        <v>1</v>
      </c>
      <c r="O2" s="1" t="str">
        <f t="shared" ref="O2:O21" si="3">IF(L2="","",IF(N2&gt;=2,"Alta",IF(N2&gt;=1,"Media","Baja")))</f>
        <v>Media</v>
      </c>
      <c r="P2" s="1" t="s">
        <v>27</v>
      </c>
      <c r="Q2" s="1" t="s">
        <v>28</v>
      </c>
      <c r="R2" s="1" t="s">
        <v>29</v>
      </c>
      <c r="S2" s="1"/>
    </row>
    <row r="3" spans="1:19" ht="95.1" customHeight="1" x14ac:dyDescent="0.25">
      <c r="A3" s="1" t="s">
        <v>19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/>
      <c r="J3" s="1"/>
      <c r="K3" s="1"/>
      <c r="L3" s="1" t="str">
        <f t="shared" si="0"/>
        <v/>
      </c>
      <c r="M3" s="1" t="str">
        <f t="shared" si="1"/>
        <v/>
      </c>
      <c r="N3" s="1" t="str">
        <f t="shared" si="2"/>
        <v/>
      </c>
      <c r="O3" s="1" t="str">
        <f t="shared" si="3"/>
        <v/>
      </c>
      <c r="P3" s="1" t="s">
        <v>37</v>
      </c>
      <c r="Q3" s="1" t="s">
        <v>38</v>
      </c>
      <c r="R3" s="1" t="s">
        <v>39</v>
      </c>
      <c r="S3" s="1"/>
    </row>
    <row r="4" spans="1:19" ht="95.1" customHeight="1" x14ac:dyDescent="0.25">
      <c r="A4" s="1" t="s">
        <v>19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/>
      <c r="J4" s="1"/>
      <c r="K4" s="1"/>
      <c r="L4" s="1" t="str">
        <f t="shared" si="0"/>
        <v/>
      </c>
      <c r="M4" s="1" t="str">
        <f t="shared" si="1"/>
        <v/>
      </c>
      <c r="N4" s="1" t="str">
        <f t="shared" si="2"/>
        <v/>
      </c>
      <c r="O4" s="1" t="str">
        <f t="shared" si="3"/>
        <v/>
      </c>
      <c r="P4" s="1" t="s">
        <v>47</v>
      </c>
      <c r="Q4" s="1" t="s">
        <v>48</v>
      </c>
      <c r="R4" s="1" t="s">
        <v>49</v>
      </c>
      <c r="S4" s="1"/>
    </row>
    <row r="5" spans="1:19" ht="95.1" customHeight="1" x14ac:dyDescent="0.25">
      <c r="A5" s="1" t="s">
        <v>19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/>
      <c r="J5" s="1"/>
      <c r="K5" s="1"/>
      <c r="L5" s="1" t="str">
        <f t="shared" si="0"/>
        <v/>
      </c>
      <c r="M5" s="1" t="str">
        <f t="shared" si="1"/>
        <v/>
      </c>
      <c r="N5" s="1" t="str">
        <f t="shared" si="2"/>
        <v/>
      </c>
      <c r="O5" s="1" t="str">
        <f t="shared" si="3"/>
        <v/>
      </c>
      <c r="P5" s="1" t="s">
        <v>57</v>
      </c>
      <c r="Q5" s="1" t="s">
        <v>58</v>
      </c>
      <c r="R5" s="1" t="s">
        <v>59</v>
      </c>
      <c r="S5" s="1"/>
    </row>
    <row r="6" spans="1:19" ht="95.1" customHeight="1" x14ac:dyDescent="0.25">
      <c r="A6" s="1" t="s">
        <v>60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67</v>
      </c>
      <c r="I6" s="1"/>
      <c r="J6" s="1"/>
      <c r="K6" s="1"/>
      <c r="L6" s="1" t="str">
        <f t="shared" si="0"/>
        <v/>
      </c>
      <c r="M6" s="1" t="str">
        <f t="shared" si="1"/>
        <v/>
      </c>
      <c r="N6" s="1" t="str">
        <f t="shared" si="2"/>
        <v/>
      </c>
      <c r="O6" s="1" t="str">
        <f t="shared" si="3"/>
        <v/>
      </c>
      <c r="P6" s="1" t="s">
        <v>68</v>
      </c>
      <c r="Q6" s="1" t="s">
        <v>69</v>
      </c>
      <c r="R6" s="1" t="s">
        <v>70</v>
      </c>
      <c r="S6" s="1"/>
    </row>
    <row r="7" spans="1:19" ht="95.1" customHeight="1" x14ac:dyDescent="0.25">
      <c r="A7" s="1" t="s">
        <v>60</v>
      </c>
      <c r="B7" s="1" t="s">
        <v>71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 t="s">
        <v>77</v>
      </c>
      <c r="I7" s="1"/>
      <c r="J7" s="1"/>
      <c r="K7" s="1"/>
      <c r="L7" s="1" t="str">
        <f t="shared" si="0"/>
        <v/>
      </c>
      <c r="M7" s="1" t="str">
        <f t="shared" si="1"/>
        <v/>
      </c>
      <c r="N7" s="1" t="str">
        <f t="shared" si="2"/>
        <v/>
      </c>
      <c r="O7" s="1" t="str">
        <f t="shared" si="3"/>
        <v/>
      </c>
      <c r="P7" s="1" t="s">
        <v>78</v>
      </c>
      <c r="Q7" s="1" t="s">
        <v>79</v>
      </c>
      <c r="R7" s="1" t="s">
        <v>80</v>
      </c>
      <c r="S7" s="1"/>
    </row>
    <row r="8" spans="1:19" ht="95.1" customHeight="1" x14ac:dyDescent="0.25">
      <c r="A8" s="1" t="s">
        <v>60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1" t="s">
        <v>87</v>
      </c>
      <c r="I8" s="1"/>
      <c r="J8" s="1"/>
      <c r="K8" s="1"/>
      <c r="L8" s="1" t="str">
        <f t="shared" si="0"/>
        <v/>
      </c>
      <c r="M8" s="1" t="str">
        <f t="shared" si="1"/>
        <v/>
      </c>
      <c r="N8" s="1" t="str">
        <f t="shared" si="2"/>
        <v/>
      </c>
      <c r="O8" s="1" t="str">
        <f t="shared" si="3"/>
        <v/>
      </c>
      <c r="P8" s="1" t="s">
        <v>88</v>
      </c>
      <c r="Q8" s="1" t="s">
        <v>89</v>
      </c>
      <c r="R8" s="1" t="s">
        <v>90</v>
      </c>
      <c r="S8" s="1"/>
    </row>
    <row r="9" spans="1:19" ht="95.1" customHeight="1" x14ac:dyDescent="0.25">
      <c r="A9" s="1" t="s">
        <v>60</v>
      </c>
      <c r="B9" s="1" t="s">
        <v>91</v>
      </c>
      <c r="C9" s="1" t="s">
        <v>92</v>
      </c>
      <c r="D9" s="1" t="s">
        <v>93</v>
      </c>
      <c r="E9" s="1" t="s">
        <v>94</v>
      </c>
      <c r="F9" s="1" t="s">
        <v>95</v>
      </c>
      <c r="G9" s="1" t="s">
        <v>96</v>
      </c>
      <c r="H9" s="1" t="s">
        <v>97</v>
      </c>
      <c r="I9" s="1"/>
      <c r="J9" s="1"/>
      <c r="K9" s="1"/>
      <c r="L9" s="1" t="str">
        <f t="shared" si="0"/>
        <v/>
      </c>
      <c r="M9" s="1" t="str">
        <f t="shared" si="1"/>
        <v/>
      </c>
      <c r="N9" s="1" t="str">
        <f t="shared" si="2"/>
        <v/>
      </c>
      <c r="O9" s="1" t="str">
        <f t="shared" si="3"/>
        <v/>
      </c>
      <c r="P9" s="1" t="s">
        <v>98</v>
      </c>
      <c r="Q9" s="1" t="s">
        <v>99</v>
      </c>
      <c r="R9" s="1" t="s">
        <v>100</v>
      </c>
      <c r="S9" s="1"/>
    </row>
    <row r="10" spans="1:19" ht="95.1" customHeight="1" x14ac:dyDescent="0.2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  <c r="I10" s="1"/>
      <c r="J10" s="1"/>
      <c r="K10" s="1"/>
      <c r="L10" s="1" t="str">
        <f t="shared" si="0"/>
        <v/>
      </c>
      <c r="M10" s="1" t="str">
        <f t="shared" si="1"/>
        <v/>
      </c>
      <c r="N10" s="1" t="str">
        <f t="shared" si="2"/>
        <v/>
      </c>
      <c r="O10" s="1" t="str">
        <f t="shared" si="3"/>
        <v/>
      </c>
      <c r="P10" s="1" t="s">
        <v>109</v>
      </c>
      <c r="Q10" s="1" t="s">
        <v>110</v>
      </c>
      <c r="R10" s="1" t="s">
        <v>111</v>
      </c>
      <c r="S10" s="1"/>
    </row>
    <row r="11" spans="1:19" ht="95.1" customHeight="1" x14ac:dyDescent="0.25">
      <c r="A11" s="1" t="s">
        <v>101</v>
      </c>
      <c r="B11" s="1" t="s">
        <v>112</v>
      </c>
      <c r="C11" s="1" t="s">
        <v>113</v>
      </c>
      <c r="D11" s="1" t="s">
        <v>114</v>
      </c>
      <c r="E11" s="1" t="s">
        <v>115</v>
      </c>
      <c r="F11" s="1" t="s">
        <v>116</v>
      </c>
      <c r="G11" s="1" t="s">
        <v>117</v>
      </c>
      <c r="H11" s="1" t="s">
        <v>118</v>
      </c>
      <c r="I11" s="1"/>
      <c r="J11" s="1"/>
      <c r="K11" s="1"/>
      <c r="L11" s="1" t="str">
        <f t="shared" si="0"/>
        <v/>
      </c>
      <c r="M11" s="1" t="str">
        <f t="shared" si="1"/>
        <v/>
      </c>
      <c r="N11" s="1" t="str">
        <f t="shared" si="2"/>
        <v/>
      </c>
      <c r="O11" s="1" t="str">
        <f t="shared" si="3"/>
        <v/>
      </c>
      <c r="P11" s="1" t="s">
        <v>119</v>
      </c>
      <c r="Q11" s="1" t="s">
        <v>120</v>
      </c>
      <c r="R11" s="1" t="s">
        <v>121</v>
      </c>
      <c r="S11" s="1"/>
    </row>
    <row r="12" spans="1:19" ht="95.1" customHeight="1" x14ac:dyDescent="0.25">
      <c r="A12" s="1" t="s">
        <v>101</v>
      </c>
      <c r="B12" s="1" t="s">
        <v>122</v>
      </c>
      <c r="C12" s="1" t="s">
        <v>123</v>
      </c>
      <c r="D12" s="1" t="s">
        <v>124</v>
      </c>
      <c r="E12" s="1" t="s">
        <v>125</v>
      </c>
      <c r="F12" s="1" t="s">
        <v>126</v>
      </c>
      <c r="G12" s="1" t="s">
        <v>127</v>
      </c>
      <c r="H12" s="1" t="s">
        <v>128</v>
      </c>
      <c r="I12" s="1"/>
      <c r="J12" s="1"/>
      <c r="K12" s="1"/>
      <c r="L12" s="1" t="str">
        <f t="shared" si="0"/>
        <v/>
      </c>
      <c r="M12" s="1" t="str">
        <f t="shared" si="1"/>
        <v/>
      </c>
      <c r="N12" s="1" t="str">
        <f t="shared" si="2"/>
        <v/>
      </c>
      <c r="O12" s="1" t="str">
        <f t="shared" si="3"/>
        <v/>
      </c>
      <c r="P12" s="1" t="s">
        <v>129</v>
      </c>
      <c r="Q12" s="1" t="s">
        <v>130</v>
      </c>
      <c r="R12" s="1" t="s">
        <v>131</v>
      </c>
      <c r="S12" s="1"/>
    </row>
    <row r="13" spans="1:19" ht="95.1" customHeight="1" x14ac:dyDescent="0.25">
      <c r="A13" s="1" t="s">
        <v>101</v>
      </c>
      <c r="B13" s="1" t="s">
        <v>132</v>
      </c>
      <c r="C13" s="1" t="s">
        <v>133</v>
      </c>
      <c r="D13" s="1" t="s">
        <v>134</v>
      </c>
      <c r="E13" s="1" t="s">
        <v>135</v>
      </c>
      <c r="F13" s="1" t="s">
        <v>136</v>
      </c>
      <c r="G13" s="1" t="s">
        <v>137</v>
      </c>
      <c r="H13" s="1" t="s">
        <v>138</v>
      </c>
      <c r="I13" s="1"/>
      <c r="J13" s="1"/>
      <c r="K13" s="1"/>
      <c r="L13" s="1" t="str">
        <f t="shared" si="0"/>
        <v/>
      </c>
      <c r="M13" s="1" t="str">
        <f t="shared" si="1"/>
        <v/>
      </c>
      <c r="N13" s="1" t="str">
        <f t="shared" si="2"/>
        <v/>
      </c>
      <c r="O13" s="1" t="str">
        <f t="shared" si="3"/>
        <v/>
      </c>
      <c r="P13" s="1" t="s">
        <v>139</v>
      </c>
      <c r="Q13" s="1" t="s">
        <v>140</v>
      </c>
      <c r="R13" s="1" t="s">
        <v>141</v>
      </c>
      <c r="S13" s="1"/>
    </row>
    <row r="14" spans="1:19" ht="95.1" customHeight="1" x14ac:dyDescent="0.25">
      <c r="A14" s="1" t="s">
        <v>142</v>
      </c>
      <c r="B14" s="1" t="s">
        <v>143</v>
      </c>
      <c r="C14" s="1" t="s">
        <v>144</v>
      </c>
      <c r="D14" s="1" t="s">
        <v>145</v>
      </c>
      <c r="E14" s="1" t="s">
        <v>146</v>
      </c>
      <c r="F14" s="1" t="s">
        <v>147</v>
      </c>
      <c r="G14" s="1" t="s">
        <v>148</v>
      </c>
      <c r="H14" s="1" t="s">
        <v>149</v>
      </c>
      <c r="I14" s="1"/>
      <c r="J14" s="1"/>
      <c r="K14" s="1"/>
      <c r="L14" s="1" t="str">
        <f t="shared" si="0"/>
        <v/>
      </c>
      <c r="M14" s="1" t="str">
        <f t="shared" si="1"/>
        <v/>
      </c>
      <c r="N14" s="1" t="str">
        <f t="shared" si="2"/>
        <v/>
      </c>
      <c r="O14" s="1" t="str">
        <f t="shared" si="3"/>
        <v/>
      </c>
      <c r="P14" s="1" t="s">
        <v>150</v>
      </c>
      <c r="Q14" s="1" t="s">
        <v>151</v>
      </c>
      <c r="R14" s="1" t="s">
        <v>152</v>
      </c>
      <c r="S14" s="1"/>
    </row>
    <row r="15" spans="1:19" ht="95.1" customHeight="1" x14ac:dyDescent="0.25">
      <c r="A15" s="1" t="s">
        <v>142</v>
      </c>
      <c r="B15" s="1" t="s">
        <v>153</v>
      </c>
      <c r="C15" s="1" t="s">
        <v>154</v>
      </c>
      <c r="D15" s="1" t="s">
        <v>155</v>
      </c>
      <c r="E15" s="1" t="s">
        <v>156</v>
      </c>
      <c r="F15" s="1" t="s">
        <v>157</v>
      </c>
      <c r="G15" s="1" t="s">
        <v>158</v>
      </c>
      <c r="H15" s="1" t="s">
        <v>159</v>
      </c>
      <c r="I15" s="1"/>
      <c r="J15" s="1"/>
      <c r="K15" s="1"/>
      <c r="L15" s="1" t="str">
        <f t="shared" si="0"/>
        <v/>
      </c>
      <c r="M15" s="1" t="str">
        <f t="shared" si="1"/>
        <v/>
      </c>
      <c r="N15" s="1" t="str">
        <f t="shared" si="2"/>
        <v/>
      </c>
      <c r="O15" s="1" t="str">
        <f t="shared" si="3"/>
        <v/>
      </c>
      <c r="P15" s="1" t="s">
        <v>160</v>
      </c>
      <c r="Q15" s="1" t="s">
        <v>161</v>
      </c>
      <c r="R15" s="1" t="s">
        <v>162</v>
      </c>
      <c r="S15" s="1"/>
    </row>
    <row r="16" spans="1:19" ht="95.1" customHeight="1" x14ac:dyDescent="0.25">
      <c r="A16" s="1" t="s">
        <v>142</v>
      </c>
      <c r="B16" s="1" t="s">
        <v>163</v>
      </c>
      <c r="C16" s="1" t="s">
        <v>164</v>
      </c>
      <c r="D16" s="1" t="s">
        <v>165</v>
      </c>
      <c r="E16" s="1" t="s">
        <v>166</v>
      </c>
      <c r="F16" s="1" t="s">
        <v>167</v>
      </c>
      <c r="G16" s="1" t="s">
        <v>168</v>
      </c>
      <c r="H16" s="1" t="s">
        <v>169</v>
      </c>
      <c r="I16" s="1"/>
      <c r="J16" s="1"/>
      <c r="K16" s="1"/>
      <c r="L16" s="1" t="str">
        <f t="shared" si="0"/>
        <v/>
      </c>
      <c r="M16" s="1" t="str">
        <f t="shared" si="1"/>
        <v/>
      </c>
      <c r="N16" s="1" t="str">
        <f t="shared" si="2"/>
        <v/>
      </c>
      <c r="O16" s="1" t="str">
        <f t="shared" si="3"/>
        <v/>
      </c>
      <c r="P16" s="1" t="s">
        <v>170</v>
      </c>
      <c r="Q16" s="1" t="s">
        <v>171</v>
      </c>
      <c r="R16" s="1" t="s">
        <v>172</v>
      </c>
      <c r="S16" s="1"/>
    </row>
    <row r="17" spans="1:19" ht="95.1" customHeight="1" x14ac:dyDescent="0.25">
      <c r="A17" s="1" t="s">
        <v>142</v>
      </c>
      <c r="B17" s="1" t="s">
        <v>173</v>
      </c>
      <c r="C17" s="1" t="s">
        <v>174</v>
      </c>
      <c r="D17" s="1" t="s">
        <v>175</v>
      </c>
      <c r="E17" s="1" t="s">
        <v>176</v>
      </c>
      <c r="F17" s="1" t="s">
        <v>177</v>
      </c>
      <c r="G17" s="1" t="s">
        <v>178</v>
      </c>
      <c r="H17" s="1" t="s">
        <v>179</v>
      </c>
      <c r="I17" s="1"/>
      <c r="J17" s="1"/>
      <c r="K17" s="1"/>
      <c r="L17" s="1" t="str">
        <f t="shared" si="0"/>
        <v/>
      </c>
      <c r="M17" s="1" t="str">
        <f t="shared" si="1"/>
        <v/>
      </c>
      <c r="N17" s="1" t="str">
        <f t="shared" si="2"/>
        <v/>
      </c>
      <c r="O17" s="1" t="str">
        <f t="shared" si="3"/>
        <v/>
      </c>
      <c r="P17" s="1" t="s">
        <v>180</v>
      </c>
      <c r="Q17" s="1" t="s">
        <v>181</v>
      </c>
      <c r="R17" s="1" t="s">
        <v>182</v>
      </c>
      <c r="S17" s="1"/>
    </row>
    <row r="18" spans="1:19" ht="95.1" customHeight="1" x14ac:dyDescent="0.25">
      <c r="A18" s="1" t="s">
        <v>183</v>
      </c>
      <c r="B18" s="1" t="s">
        <v>184</v>
      </c>
      <c r="C18" s="1" t="s">
        <v>185</v>
      </c>
      <c r="D18" s="1" t="s">
        <v>186</v>
      </c>
      <c r="E18" s="1" t="s">
        <v>187</v>
      </c>
      <c r="F18" s="1" t="s">
        <v>188</v>
      </c>
      <c r="G18" s="1" t="s">
        <v>189</v>
      </c>
      <c r="H18" s="1" t="s">
        <v>190</v>
      </c>
      <c r="I18" s="1"/>
      <c r="J18" s="1"/>
      <c r="K18" s="1"/>
      <c r="L18" s="1" t="str">
        <f t="shared" si="0"/>
        <v/>
      </c>
      <c r="M18" s="1" t="str">
        <f t="shared" si="1"/>
        <v/>
      </c>
      <c r="N18" s="1" t="str">
        <f t="shared" si="2"/>
        <v/>
      </c>
      <c r="O18" s="1" t="str">
        <f t="shared" si="3"/>
        <v/>
      </c>
      <c r="P18" s="1" t="s">
        <v>191</v>
      </c>
      <c r="Q18" s="1" t="s">
        <v>192</v>
      </c>
      <c r="R18" s="1" t="s">
        <v>193</v>
      </c>
      <c r="S18" s="1"/>
    </row>
    <row r="19" spans="1:19" ht="95.1" customHeight="1" x14ac:dyDescent="0.25">
      <c r="A19" s="1" t="s">
        <v>183</v>
      </c>
      <c r="B19" s="1" t="s">
        <v>194</v>
      </c>
      <c r="C19" s="1" t="s">
        <v>195</v>
      </c>
      <c r="D19" s="1" t="s">
        <v>196</v>
      </c>
      <c r="E19" s="1" t="s">
        <v>197</v>
      </c>
      <c r="F19" s="1" t="s">
        <v>198</v>
      </c>
      <c r="G19" s="1" t="s">
        <v>199</v>
      </c>
      <c r="H19" s="1" t="s">
        <v>200</v>
      </c>
      <c r="I19" s="1"/>
      <c r="J19" s="1"/>
      <c r="K19" s="1"/>
      <c r="L19" s="1" t="str">
        <f t="shared" si="0"/>
        <v/>
      </c>
      <c r="M19" s="1" t="str">
        <f t="shared" si="1"/>
        <v/>
      </c>
      <c r="N19" s="1" t="str">
        <f t="shared" si="2"/>
        <v/>
      </c>
      <c r="O19" s="1" t="str">
        <f t="shared" si="3"/>
        <v/>
      </c>
      <c r="P19" s="1" t="s">
        <v>201</v>
      </c>
      <c r="Q19" s="1" t="s">
        <v>202</v>
      </c>
      <c r="R19" s="1" t="s">
        <v>203</v>
      </c>
      <c r="S19" s="1"/>
    </row>
    <row r="20" spans="1:19" ht="95.1" customHeight="1" x14ac:dyDescent="0.25">
      <c r="A20" s="1" t="s">
        <v>183</v>
      </c>
      <c r="B20" s="1" t="s">
        <v>204</v>
      </c>
      <c r="C20" s="1" t="s">
        <v>205</v>
      </c>
      <c r="D20" s="1" t="s">
        <v>206</v>
      </c>
      <c r="E20" s="1" t="s">
        <v>207</v>
      </c>
      <c r="F20" s="1" t="s">
        <v>208</v>
      </c>
      <c r="G20" s="1" t="s">
        <v>209</v>
      </c>
      <c r="H20" s="1" t="s">
        <v>210</v>
      </c>
      <c r="I20" s="1"/>
      <c r="J20" s="1"/>
      <c r="K20" s="1"/>
      <c r="L20" s="1" t="str">
        <f t="shared" si="0"/>
        <v/>
      </c>
      <c r="M20" s="1" t="str">
        <f t="shared" si="1"/>
        <v/>
      </c>
      <c r="N20" s="1" t="str">
        <f t="shared" si="2"/>
        <v/>
      </c>
      <c r="O20" s="1" t="str">
        <f t="shared" si="3"/>
        <v/>
      </c>
      <c r="P20" s="1" t="s">
        <v>211</v>
      </c>
      <c r="Q20" s="1" t="s">
        <v>212</v>
      </c>
      <c r="R20" s="1" t="s">
        <v>213</v>
      </c>
      <c r="S20" s="1"/>
    </row>
    <row r="21" spans="1:19" ht="95.1" customHeight="1" x14ac:dyDescent="0.25">
      <c r="A21" s="1" t="s">
        <v>183</v>
      </c>
      <c r="B21" s="1" t="s">
        <v>214</v>
      </c>
      <c r="C21" s="1" t="s">
        <v>215</v>
      </c>
      <c r="D21" s="1" t="s">
        <v>216</v>
      </c>
      <c r="E21" s="1" t="s">
        <v>217</v>
      </c>
      <c r="F21" s="1" t="s">
        <v>218</v>
      </c>
      <c r="G21" s="1" t="s">
        <v>219</v>
      </c>
      <c r="H21" s="1" t="s">
        <v>220</v>
      </c>
      <c r="I21" s="1"/>
      <c r="J21" s="1"/>
      <c r="K21" s="1"/>
      <c r="L21" s="1" t="str">
        <f t="shared" si="0"/>
        <v/>
      </c>
      <c r="M21" s="1" t="str">
        <f t="shared" si="1"/>
        <v/>
      </c>
      <c r="N21" s="1" t="str">
        <f t="shared" si="2"/>
        <v/>
      </c>
      <c r="O21" s="1" t="str">
        <f t="shared" si="3"/>
        <v/>
      </c>
      <c r="P21" s="1" t="s">
        <v>221</v>
      </c>
      <c r="Q21" s="1" t="s">
        <v>222</v>
      </c>
      <c r="R21" s="1" t="s">
        <v>223</v>
      </c>
      <c r="S21" s="1"/>
    </row>
  </sheetData>
  <autoFilter ref="A1:S21" xr:uid="{00000000-0009-0000-0000-000000000000}"/>
  <conditionalFormatting sqref="I2:I2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J2:J2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2:K21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L2:L21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N2:N21">
    <cfRule type="colorScale" priority="5">
      <colorScale>
        <cfvo type="num" val="0"/>
        <cfvo type="num" val="1.5"/>
        <cfvo type="num" val="3"/>
        <color rgb="FF63BE7B"/>
        <color rgb="FFFFEB84"/>
        <color rgb="FFF8696B"/>
      </colorScale>
    </cfRule>
  </conditionalFormatting>
  <conditionalFormatting sqref="O2:O21">
    <cfRule type="expression" dxfId="11" priority="6">
      <formula>O2="Alta"</formula>
    </cfRule>
    <cfRule type="expression" dxfId="10" priority="7">
      <formula>O2="Media"</formula>
    </cfRule>
    <cfRule type="expression" dxfId="9" priority="8">
      <formula>O2="Baja"</formula>
    </cfRule>
  </conditionalFormatting>
  <dataValidations count="1">
    <dataValidation type="whole" allowBlank="1" errorTitle="Puntuación no válida" error="Introduce una puntuación entera entre 1 y 5." sqref="I2:I21 J2:J21 K2:K21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30" customWidth="1"/>
  </cols>
  <sheetData>
    <row r="1" spans="1:7" x14ac:dyDescent="0.25">
      <c r="A1" s="4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13</v>
      </c>
      <c r="G1" s="4" t="s">
        <v>14</v>
      </c>
    </row>
    <row r="2" spans="1:7" x14ac:dyDescent="0.25">
      <c r="A2" s="1" t="s">
        <v>19</v>
      </c>
      <c r="B2" s="1">
        <f>IFERROR(ROUND(AVERAGEIF(Assessment!$A:$A,A2,Assessment!$I:$I),2),"")</f>
        <v>2</v>
      </c>
      <c r="C2" s="1">
        <f>IFERROR(ROUND(AVERAGEIF(Assessment!$A:$A,A2,Assessment!$J:$J),2),"")</f>
        <v>4</v>
      </c>
      <c r="D2" s="1">
        <f>IFERROR(ROUND(AVERAGEIF(Assessment!$A:$A,A2,Assessment!$K:$K),2),"")</f>
        <v>3</v>
      </c>
      <c r="E2" s="1">
        <f>IFERROR(ROUND(AVERAGEIF(Assessment!$A:$A,A2,Assessment!$L:$L),2),"")</f>
        <v>3</v>
      </c>
      <c r="F2" s="1">
        <f>IF(E2="","",MAX(0,4-E2))</f>
        <v>1</v>
      </c>
      <c r="G2" s="1" t="str">
        <f>IF(E2="","",IF(F2&gt;=2,"Alta",IF(F2&gt;=1,"Media","Baja")))</f>
        <v>Media</v>
      </c>
    </row>
    <row r="3" spans="1:7" ht="28.9" customHeight="1" x14ac:dyDescent="0.25">
      <c r="A3" s="1" t="s">
        <v>60</v>
      </c>
      <c r="B3" s="1" t="str">
        <f>IFERROR(ROUND(AVERAGEIF(Assessment!$A:$A,A3,Assessment!$I:$I),2),"")</f>
        <v/>
      </c>
      <c r="C3" s="1" t="str">
        <f>IFERROR(ROUND(AVERAGEIF(Assessment!$A:$A,A3,Assessment!$J:$J),2),"")</f>
        <v/>
      </c>
      <c r="D3" s="1" t="str">
        <f>IFERROR(ROUND(AVERAGEIF(Assessment!$A:$A,A3,Assessment!$K:$K),2),"")</f>
        <v/>
      </c>
      <c r="E3" s="1" t="str">
        <f>IFERROR(ROUND(AVERAGEIF(Assessment!$A:$A,A3,Assessment!$L:$L),2),"")</f>
        <v/>
      </c>
      <c r="F3" s="1" t="str">
        <f>IF(E3="","",MAX(0,4-E3))</f>
        <v/>
      </c>
      <c r="G3" s="1" t="str">
        <f>IF(E3="","",IF(F3&gt;=2,"Alta",IF(F3&gt;=1,"Media","Baja")))</f>
        <v/>
      </c>
    </row>
    <row r="4" spans="1:7" x14ac:dyDescent="0.25">
      <c r="A4" s="1" t="s">
        <v>101</v>
      </c>
      <c r="B4" s="1" t="str">
        <f>IFERROR(ROUND(AVERAGEIF(Assessment!$A:$A,A4,Assessment!$I:$I),2),"")</f>
        <v/>
      </c>
      <c r="C4" s="1" t="str">
        <f>IFERROR(ROUND(AVERAGEIF(Assessment!$A:$A,A4,Assessment!$J:$J),2),"")</f>
        <v/>
      </c>
      <c r="D4" s="1" t="str">
        <f>IFERROR(ROUND(AVERAGEIF(Assessment!$A:$A,A4,Assessment!$K:$K),2),"")</f>
        <v/>
      </c>
      <c r="E4" s="1" t="str">
        <f>IFERROR(ROUND(AVERAGEIF(Assessment!$A:$A,A4,Assessment!$L:$L),2),"")</f>
        <v/>
      </c>
      <c r="F4" s="1" t="str">
        <f>IF(E4="","",MAX(0,4-E4))</f>
        <v/>
      </c>
      <c r="G4" s="1" t="str">
        <f>IF(E4="","",IF(F4&gt;=2,"Alta",IF(F4&gt;=1,"Media","Baja")))</f>
        <v/>
      </c>
    </row>
    <row r="5" spans="1:7" ht="28.9" customHeight="1" x14ac:dyDescent="0.25">
      <c r="A5" s="1" t="s">
        <v>142</v>
      </c>
      <c r="B5" s="1" t="str">
        <f>IFERROR(ROUND(AVERAGEIF(Assessment!$A:$A,A5,Assessment!$I:$I),2),"")</f>
        <v/>
      </c>
      <c r="C5" s="1" t="str">
        <f>IFERROR(ROUND(AVERAGEIF(Assessment!$A:$A,A5,Assessment!$J:$J),2),"")</f>
        <v/>
      </c>
      <c r="D5" s="1" t="str">
        <f>IFERROR(ROUND(AVERAGEIF(Assessment!$A:$A,A5,Assessment!$K:$K),2),"")</f>
        <v/>
      </c>
      <c r="E5" s="1" t="str">
        <f>IFERROR(ROUND(AVERAGEIF(Assessment!$A:$A,A5,Assessment!$L:$L),2),"")</f>
        <v/>
      </c>
      <c r="F5" s="1" t="str">
        <f>IF(E5="","",MAX(0,4-E5))</f>
        <v/>
      </c>
      <c r="G5" s="1" t="str">
        <f>IF(E5="","",IF(F5&gt;=2,"Alta",IF(F5&gt;=1,"Media","Baja")))</f>
        <v/>
      </c>
    </row>
    <row r="6" spans="1:7" x14ac:dyDescent="0.25">
      <c r="A6" s="1" t="s">
        <v>183</v>
      </c>
      <c r="B6" s="1" t="str">
        <f>IFERROR(ROUND(AVERAGEIF(Assessment!$A:$A,A6,Assessment!$I:$I),2),"")</f>
        <v/>
      </c>
      <c r="C6" s="1" t="str">
        <f>IFERROR(ROUND(AVERAGEIF(Assessment!$A:$A,A6,Assessment!$J:$J),2),"")</f>
        <v/>
      </c>
      <c r="D6" s="1" t="str">
        <f>IFERROR(ROUND(AVERAGEIF(Assessment!$A:$A,A6,Assessment!$K:$K),2),"")</f>
        <v/>
      </c>
      <c r="E6" s="1" t="str">
        <f>IFERROR(ROUND(AVERAGEIF(Assessment!$A:$A,A6,Assessment!$L:$L),2),"")</f>
        <v/>
      </c>
      <c r="F6" s="1" t="str">
        <f>IF(E6="","",MAX(0,4-E6))</f>
        <v/>
      </c>
      <c r="G6" s="1" t="str">
        <f>IF(E6="","",IF(F6&gt;=2,"Alta",IF(F6&gt;=1,"Media","Baja")))</f>
        <v/>
      </c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2" t="s">
        <v>224</v>
      </c>
      <c r="B8" s="2">
        <f>IFERROR(ROUND(AVERAGE(B2:B6),2),"")</f>
        <v>2</v>
      </c>
      <c r="C8" s="2">
        <f>IFERROR(ROUND(AVERAGE(C2:C6),2),"")</f>
        <v>4</v>
      </c>
      <c r="D8" s="2">
        <f>IFERROR(ROUND(AVERAGE(D2:D6),2),"")</f>
        <v>3</v>
      </c>
      <c r="E8" s="2">
        <f>IFERROR(ROUND(AVERAGE(E2:E6),2),"")</f>
        <v>3</v>
      </c>
      <c r="F8" s="2">
        <f>IFERROR(ROUND(AVERAGE(F2:F6),2),"")</f>
        <v>1</v>
      </c>
      <c r="G8" s="2" t="str">
        <f>IF(E8="","",IF(F8&gt;=2,"Alta",IF(F8&gt;=1,"Media","Baja")))</f>
        <v>Media</v>
      </c>
    </row>
  </sheetData>
  <autoFilter ref="A1:G8" xr:uid="{00000000-0009-0000-0000-000001000000}"/>
  <conditionalFormatting sqref="B2:B8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C2:C8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2:D8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E2:E8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2:F8">
    <cfRule type="colorScale" priority="5">
      <colorScale>
        <cfvo type="num" val="0"/>
        <cfvo type="num" val="1.5"/>
        <cfvo type="num" val="3"/>
        <color rgb="FF63BE7B"/>
        <color rgb="FFFFEB84"/>
        <color rgb="FFF8696B"/>
      </colorScale>
    </cfRule>
  </conditionalFormatting>
  <conditionalFormatting sqref="G2:G8">
    <cfRule type="expression" dxfId="8" priority="6">
      <formula>G2="Alta"</formula>
    </cfRule>
    <cfRule type="expression" dxfId="7" priority="7">
      <formula>G2="Media"</formula>
    </cfRule>
    <cfRule type="expression" dxfId="6" priority="8">
      <formula>G2="Baja"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48" customWidth="1"/>
    <col min="3" max="6" width="14" customWidth="1"/>
    <col min="7" max="7" width="10" customWidth="1"/>
    <col min="8" max="8" width="12" customWidth="1"/>
  </cols>
  <sheetData>
    <row r="1" spans="1:8" x14ac:dyDescent="0.25">
      <c r="A1" s="4" t="s">
        <v>0</v>
      </c>
      <c r="B1" s="4" t="s">
        <v>1</v>
      </c>
      <c r="C1" s="4" t="s">
        <v>225</v>
      </c>
      <c r="D1" s="4" t="s">
        <v>226</v>
      </c>
      <c r="E1" s="4" t="s">
        <v>227</v>
      </c>
      <c r="F1" s="4" t="s">
        <v>228</v>
      </c>
      <c r="G1" s="4" t="s">
        <v>229</v>
      </c>
      <c r="H1" s="4" t="s">
        <v>14</v>
      </c>
    </row>
    <row r="2" spans="1:8" x14ac:dyDescent="0.25">
      <c r="A2" s="1" t="str">
        <f>Assessment!A2</f>
        <v>Presupuestos y previsiones</v>
      </c>
      <c r="B2" s="1" t="str">
        <f>Assessment!B2</f>
        <v>1.1 Gobierno del proceso presupuestario y forecast</v>
      </c>
      <c r="C2" s="1">
        <f>Assessment!I2</f>
        <v>2</v>
      </c>
      <c r="D2" s="1">
        <f>Assessment!J2</f>
        <v>4</v>
      </c>
      <c r="E2" s="1">
        <f>Assessment!K2</f>
        <v>3</v>
      </c>
      <c r="F2" s="1">
        <f>Assessment!L2</f>
        <v>3</v>
      </c>
      <c r="G2" s="1">
        <f>Assessment!N2</f>
        <v>1</v>
      </c>
      <c r="H2" s="1" t="str">
        <f>Assessment!O2</f>
        <v>Media</v>
      </c>
    </row>
    <row r="3" spans="1:8" ht="30" x14ac:dyDescent="0.25">
      <c r="A3" s="1" t="str">
        <f>Assessment!A3</f>
        <v>Presupuestos y previsiones</v>
      </c>
      <c r="B3" s="1" t="str">
        <f>Assessment!B3</f>
        <v>1.2 Modelo presupuestario y drivers de planificación</v>
      </c>
      <c r="C3" s="1">
        <f>Assessment!I3</f>
        <v>0</v>
      </c>
      <c r="D3" s="1">
        <f>Assessment!J3</f>
        <v>0</v>
      </c>
      <c r="E3" s="1">
        <f>Assessment!K3</f>
        <v>0</v>
      </c>
      <c r="F3" s="1" t="str">
        <f>Assessment!L3</f>
        <v/>
      </c>
      <c r="G3" s="1" t="str">
        <f>Assessment!N3</f>
        <v/>
      </c>
      <c r="H3" s="1" t="str">
        <f>Assessment!O3</f>
        <v/>
      </c>
    </row>
    <row r="4" spans="1:8" x14ac:dyDescent="0.25">
      <c r="A4" s="1" t="str">
        <f>Assessment!A4</f>
        <v>Presupuestos y previsiones</v>
      </c>
      <c r="B4" s="1" t="str">
        <f>Assessment!B4</f>
        <v>1.3 Integración de escenarios y rolling forecast</v>
      </c>
      <c r="C4" s="1">
        <f>Assessment!I4</f>
        <v>0</v>
      </c>
      <c r="D4" s="1">
        <f>Assessment!J4</f>
        <v>0</v>
      </c>
      <c r="E4" s="1">
        <f>Assessment!K4</f>
        <v>0</v>
      </c>
      <c r="F4" s="1" t="str">
        <f>Assessment!L4</f>
        <v/>
      </c>
      <c r="G4" s="1" t="str">
        <f>Assessment!N4</f>
        <v/>
      </c>
      <c r="H4" s="1" t="str">
        <f>Assessment!O4</f>
        <v/>
      </c>
    </row>
    <row r="5" spans="1:8" x14ac:dyDescent="0.25">
      <c r="A5" s="1" t="str">
        <f>Assessment!A5</f>
        <v>Presupuestos y previsiones</v>
      </c>
      <c r="B5" s="1" t="str">
        <f>Assessment!B5</f>
        <v>1.4 Colaboración y accountability presupuestaria</v>
      </c>
      <c r="C5" s="1">
        <f>Assessment!I5</f>
        <v>0</v>
      </c>
      <c r="D5" s="1">
        <f>Assessment!J5</f>
        <v>0</v>
      </c>
      <c r="E5" s="1">
        <f>Assessment!K5</f>
        <v>0</v>
      </c>
      <c r="F5" s="1" t="str">
        <f>Assessment!L5</f>
        <v/>
      </c>
      <c r="G5" s="1" t="str">
        <f>Assessment!N5</f>
        <v/>
      </c>
      <c r="H5" s="1" t="str">
        <f>Assessment!O5</f>
        <v/>
      </c>
    </row>
    <row r="6" spans="1:8" ht="30" x14ac:dyDescent="0.25">
      <c r="A6" s="1" t="str">
        <f>Assessment!A6</f>
        <v>Informes de gestión del rendimiento</v>
      </c>
      <c r="B6" s="1" t="str">
        <f>Assessment!B6</f>
        <v>2.1 Modelo de reporting de performance</v>
      </c>
      <c r="C6" s="1">
        <f>Assessment!I6</f>
        <v>0</v>
      </c>
      <c r="D6" s="1">
        <f>Assessment!J6</f>
        <v>0</v>
      </c>
      <c r="E6" s="1">
        <f>Assessment!K6</f>
        <v>0</v>
      </c>
      <c r="F6" s="1" t="str">
        <f>Assessment!L6</f>
        <v/>
      </c>
      <c r="G6" s="1" t="str">
        <f>Assessment!N6</f>
        <v/>
      </c>
      <c r="H6" s="1" t="str">
        <f>Assessment!O6</f>
        <v/>
      </c>
    </row>
    <row r="7" spans="1:8" ht="30" x14ac:dyDescent="0.25">
      <c r="A7" s="1" t="str">
        <f>Assessment!A7</f>
        <v>Informes de gestión del rendimiento</v>
      </c>
      <c r="B7" s="1" t="str">
        <f>Assessment!B7</f>
        <v>2.2 Análisis de desviaciones y causa-raíz</v>
      </c>
      <c r="C7" s="1">
        <f>Assessment!I7</f>
        <v>0</v>
      </c>
      <c r="D7" s="1">
        <f>Assessment!J7</f>
        <v>0</v>
      </c>
      <c r="E7" s="1">
        <f>Assessment!K7</f>
        <v>0</v>
      </c>
      <c r="F7" s="1" t="str">
        <f>Assessment!L7</f>
        <v/>
      </c>
      <c r="G7" s="1" t="str">
        <f>Assessment!N7</f>
        <v/>
      </c>
      <c r="H7" s="1" t="str">
        <f>Assessment!O7</f>
        <v/>
      </c>
    </row>
    <row r="8" spans="1:8" ht="30" x14ac:dyDescent="0.25">
      <c r="A8" s="1" t="str">
        <f>Assessment!A8</f>
        <v>Informes de gestión del rendimiento</v>
      </c>
      <c r="B8" s="1" t="str">
        <f>Assessment!B8</f>
        <v>2.3 Cuadros de mando y visualización ejecutiva</v>
      </c>
      <c r="C8" s="1">
        <f>Assessment!I8</f>
        <v>0</v>
      </c>
      <c r="D8" s="1">
        <f>Assessment!J8</f>
        <v>0</v>
      </c>
      <c r="E8" s="1">
        <f>Assessment!K8</f>
        <v>0</v>
      </c>
      <c r="F8" s="1" t="str">
        <f>Assessment!L8</f>
        <v/>
      </c>
      <c r="G8" s="1" t="str">
        <f>Assessment!N8</f>
        <v/>
      </c>
      <c r="H8" s="1" t="str">
        <f>Assessment!O8</f>
        <v/>
      </c>
    </row>
    <row r="9" spans="1:8" ht="30" x14ac:dyDescent="0.25">
      <c r="A9" s="1" t="str">
        <f>Assessment!A9</f>
        <v>Informes de gestión del rendimiento</v>
      </c>
      <c r="B9" s="1" t="str">
        <f>Assessment!B9</f>
        <v>2.4 Rutinas de performance y toma de acciones</v>
      </c>
      <c r="C9" s="1">
        <f>Assessment!I9</f>
        <v>0</v>
      </c>
      <c r="D9" s="1">
        <f>Assessment!J9</f>
        <v>0</v>
      </c>
      <c r="E9" s="1">
        <f>Assessment!K9</f>
        <v>0</v>
      </c>
      <c r="F9" s="1" t="str">
        <f>Assessment!L9</f>
        <v/>
      </c>
      <c r="G9" s="1" t="str">
        <f>Assessment!N9</f>
        <v/>
      </c>
      <c r="H9" s="1" t="str">
        <f>Assessment!O9</f>
        <v/>
      </c>
    </row>
    <row r="10" spans="1:8" x14ac:dyDescent="0.25">
      <c r="A10" s="1" t="str">
        <f>Assessment!A10</f>
        <v>Evaluación business case</v>
      </c>
      <c r="B10" s="1" t="str">
        <f>Assessment!B10</f>
        <v>3.1 Metodología de business case</v>
      </c>
      <c r="C10" s="1">
        <f>Assessment!I10</f>
        <v>0</v>
      </c>
      <c r="D10" s="1">
        <f>Assessment!J10</f>
        <v>0</v>
      </c>
      <c r="E10" s="1">
        <f>Assessment!K10</f>
        <v>0</v>
      </c>
      <c r="F10" s="1" t="str">
        <f>Assessment!L10</f>
        <v/>
      </c>
      <c r="G10" s="1" t="str">
        <f>Assessment!N10</f>
        <v/>
      </c>
      <c r="H10" s="1" t="str">
        <f>Assessment!O10</f>
        <v/>
      </c>
    </row>
    <row r="11" spans="1:8" x14ac:dyDescent="0.25">
      <c r="A11" s="1" t="str">
        <f>Assessment!A11</f>
        <v>Evaluación business case</v>
      </c>
      <c r="B11" s="1" t="str">
        <f>Assessment!B11</f>
        <v>3.2 Modelización financiera de iniciativas</v>
      </c>
      <c r="C11" s="1">
        <f>Assessment!I11</f>
        <v>0</v>
      </c>
      <c r="D11" s="1">
        <f>Assessment!J11</f>
        <v>0</v>
      </c>
      <c r="E11" s="1">
        <f>Assessment!K11</f>
        <v>0</v>
      </c>
      <c r="F11" s="1" t="str">
        <f>Assessment!L11</f>
        <v/>
      </c>
      <c r="G11" s="1" t="str">
        <f>Assessment!N11</f>
        <v/>
      </c>
      <c r="H11" s="1" t="str">
        <f>Assessment!O11</f>
        <v/>
      </c>
    </row>
    <row r="12" spans="1:8" x14ac:dyDescent="0.25">
      <c r="A12" s="1" t="str">
        <f>Assessment!A12</f>
        <v>Evaluación business case</v>
      </c>
      <c r="B12" s="1" t="str">
        <f>Assessment!B12</f>
        <v>3.3 Priorización y asignación de capital</v>
      </c>
      <c r="C12" s="1">
        <f>Assessment!I12</f>
        <v>0</v>
      </c>
      <c r="D12" s="1">
        <f>Assessment!J12</f>
        <v>0</v>
      </c>
      <c r="E12" s="1">
        <f>Assessment!K12</f>
        <v>0</v>
      </c>
      <c r="F12" s="1" t="str">
        <f>Assessment!L12</f>
        <v/>
      </c>
      <c r="G12" s="1" t="str">
        <f>Assessment!N12</f>
        <v/>
      </c>
      <c r="H12" s="1" t="str">
        <f>Assessment!O12</f>
        <v/>
      </c>
    </row>
    <row r="13" spans="1:8" x14ac:dyDescent="0.25">
      <c r="A13" s="1" t="str">
        <f>Assessment!A13</f>
        <v>Evaluación business case</v>
      </c>
      <c r="B13" s="1" t="str">
        <f>Assessment!B13</f>
        <v>3.4 Seguimiento de beneficios y post-mortem</v>
      </c>
      <c r="C13" s="1">
        <f>Assessment!I13</f>
        <v>0</v>
      </c>
      <c r="D13" s="1">
        <f>Assessment!J13</f>
        <v>0</v>
      </c>
      <c r="E13" s="1">
        <f>Assessment!K13</f>
        <v>0</v>
      </c>
      <c r="F13" s="1" t="str">
        <f>Assessment!L13</f>
        <v/>
      </c>
      <c r="G13" s="1" t="str">
        <f>Assessment!N13</f>
        <v/>
      </c>
      <c r="H13" s="1" t="str">
        <f>Assessment!O13</f>
        <v/>
      </c>
    </row>
    <row r="14" spans="1:8" ht="28.9" customHeight="1" x14ac:dyDescent="0.25">
      <c r="A14" s="1" t="str">
        <f>Assessment!A14</f>
        <v>Información y apoyo a la toma de decisiones</v>
      </c>
      <c r="B14" s="1" t="str">
        <f>Assessment!B14</f>
        <v>4.1 Modelo de información para la decisión</v>
      </c>
      <c r="C14" s="1">
        <f>Assessment!I14</f>
        <v>0</v>
      </c>
      <c r="D14" s="1">
        <f>Assessment!J14</f>
        <v>0</v>
      </c>
      <c r="E14" s="1">
        <f>Assessment!K14</f>
        <v>0</v>
      </c>
      <c r="F14" s="1" t="str">
        <f>Assessment!L14</f>
        <v/>
      </c>
      <c r="G14" s="1" t="str">
        <f>Assessment!N14</f>
        <v/>
      </c>
      <c r="H14" s="1" t="str">
        <f>Assessment!O14</f>
        <v/>
      </c>
    </row>
    <row r="15" spans="1:8" ht="28.9" customHeight="1" x14ac:dyDescent="0.25">
      <c r="A15" s="1" t="str">
        <f>Assessment!A15</f>
        <v>Información y apoyo a la toma de decisiones</v>
      </c>
      <c r="B15" s="1" t="str">
        <f>Assessment!B15</f>
        <v>4.2 Análisis avanzado y escenarios para decisión</v>
      </c>
      <c r="C15" s="1">
        <f>Assessment!I15</f>
        <v>0</v>
      </c>
      <c r="D15" s="1">
        <f>Assessment!J15</f>
        <v>0</v>
      </c>
      <c r="E15" s="1">
        <f>Assessment!K15</f>
        <v>0</v>
      </c>
      <c r="F15" s="1" t="str">
        <f>Assessment!L15</f>
        <v/>
      </c>
      <c r="G15" s="1" t="str">
        <f>Assessment!N15</f>
        <v/>
      </c>
      <c r="H15" s="1" t="str">
        <f>Assessment!O15</f>
        <v/>
      </c>
    </row>
    <row r="16" spans="1:8" ht="28.9" customHeight="1" x14ac:dyDescent="0.25">
      <c r="A16" s="1" t="str">
        <f>Assessment!A16</f>
        <v>Información y apoyo a la toma de decisiones</v>
      </c>
      <c r="B16" s="1" t="str">
        <f>Assessment!B16</f>
        <v>4.3 Finance business partnering y challenge al negocio</v>
      </c>
      <c r="C16" s="1">
        <f>Assessment!I16</f>
        <v>0</v>
      </c>
      <c r="D16" s="1">
        <f>Assessment!J16</f>
        <v>0</v>
      </c>
      <c r="E16" s="1">
        <f>Assessment!K16</f>
        <v>0</v>
      </c>
      <c r="F16" s="1" t="str">
        <f>Assessment!L16</f>
        <v/>
      </c>
      <c r="G16" s="1" t="str">
        <f>Assessment!N16</f>
        <v/>
      </c>
      <c r="H16" s="1" t="str">
        <f>Assessment!O16</f>
        <v/>
      </c>
    </row>
    <row r="17" spans="1:8" ht="28.9" customHeight="1" x14ac:dyDescent="0.25">
      <c r="A17" s="1" t="str">
        <f>Assessment!A17</f>
        <v>Información y apoyo a la toma de decisiones</v>
      </c>
      <c r="B17" s="1" t="str">
        <f>Assessment!B17</f>
        <v>4.4 Narrativa financiera y comunicación ejecutiva</v>
      </c>
      <c r="C17" s="1">
        <f>Assessment!I17</f>
        <v>0</v>
      </c>
      <c r="D17" s="1">
        <f>Assessment!J17</f>
        <v>0</v>
      </c>
      <c r="E17" s="1">
        <f>Assessment!K17</f>
        <v>0</v>
      </c>
      <c r="F17" s="1" t="str">
        <f>Assessment!L17</f>
        <v/>
      </c>
      <c r="G17" s="1" t="str">
        <f>Assessment!N17</f>
        <v/>
      </c>
      <c r="H17" s="1" t="str">
        <f>Assessment!O17</f>
        <v/>
      </c>
    </row>
    <row r="18" spans="1:8" ht="30" x14ac:dyDescent="0.25">
      <c r="A18" s="1" t="str">
        <f>Assessment!A18</f>
        <v>Planificación largo plazo</v>
      </c>
      <c r="B18" s="1" t="str">
        <f>Assessment!B18</f>
        <v>5.1 Plan financiero estratégico y horizonte plurianual</v>
      </c>
      <c r="C18" s="1">
        <f>Assessment!I18</f>
        <v>0</v>
      </c>
      <c r="D18" s="1">
        <f>Assessment!J18</f>
        <v>0</v>
      </c>
      <c r="E18" s="1">
        <f>Assessment!K18</f>
        <v>0</v>
      </c>
      <c r="F18" s="1" t="str">
        <f>Assessment!L18</f>
        <v/>
      </c>
      <c r="G18" s="1" t="str">
        <f>Assessment!N18</f>
        <v/>
      </c>
      <c r="H18" s="1" t="str">
        <f>Assessment!O18</f>
        <v/>
      </c>
    </row>
    <row r="19" spans="1:8" x14ac:dyDescent="0.25">
      <c r="A19" s="1" t="str">
        <f>Assessment!A19</f>
        <v>Planificación largo plazo</v>
      </c>
      <c r="B19" s="1" t="str">
        <f>Assessment!B19</f>
        <v>5.2 Escenarios estratégicos y stress testing</v>
      </c>
      <c r="C19" s="1">
        <f>Assessment!I19</f>
        <v>0</v>
      </c>
      <c r="D19" s="1">
        <f>Assessment!J19</f>
        <v>0</v>
      </c>
      <c r="E19" s="1">
        <f>Assessment!K19</f>
        <v>0</v>
      </c>
      <c r="F19" s="1" t="str">
        <f>Assessment!L19</f>
        <v/>
      </c>
      <c r="G19" s="1" t="str">
        <f>Assessment!N19</f>
        <v/>
      </c>
      <c r="H19" s="1" t="str">
        <f>Assessment!O19</f>
        <v/>
      </c>
    </row>
    <row r="20" spans="1:8" ht="30" x14ac:dyDescent="0.25">
      <c r="A20" s="1" t="str">
        <f>Assessment!A20</f>
        <v>Planificación largo plazo</v>
      </c>
      <c r="B20" s="1" t="str">
        <f>Assessment!B20</f>
        <v>5.3 Conexión entre estrategia, presupuesto y ejecución</v>
      </c>
      <c r="C20" s="1">
        <f>Assessment!I20</f>
        <v>0</v>
      </c>
      <c r="D20" s="1">
        <f>Assessment!J20</f>
        <v>0</v>
      </c>
      <c r="E20" s="1">
        <f>Assessment!K20</f>
        <v>0</v>
      </c>
      <c r="F20" s="1" t="str">
        <f>Assessment!L20</f>
        <v/>
      </c>
      <c r="G20" s="1" t="str">
        <f>Assessment!N20</f>
        <v/>
      </c>
      <c r="H20" s="1" t="str">
        <f>Assessment!O20</f>
        <v/>
      </c>
    </row>
    <row r="21" spans="1:8" x14ac:dyDescent="0.25">
      <c r="A21" s="1" t="str">
        <f>Assessment!A21</f>
        <v>Planificación largo plazo</v>
      </c>
      <c r="B21" s="1" t="str">
        <f>Assessment!B21</f>
        <v>5.4 Seguimiento de creación de valor a largo plazo</v>
      </c>
      <c r="C21" s="1">
        <f>Assessment!I21</f>
        <v>0</v>
      </c>
      <c r="D21" s="1">
        <f>Assessment!J21</f>
        <v>0</v>
      </c>
      <c r="E21" s="1">
        <f>Assessment!K21</f>
        <v>0</v>
      </c>
      <c r="F21" s="1" t="str">
        <f>Assessment!L21</f>
        <v/>
      </c>
      <c r="G21" s="1" t="str">
        <f>Assessment!N21</f>
        <v/>
      </c>
      <c r="H21" s="1" t="str">
        <f>Assessment!O21</f>
        <v/>
      </c>
    </row>
  </sheetData>
  <autoFilter ref="A1:H21" xr:uid="{00000000-0009-0000-0000-000002000000}"/>
  <conditionalFormatting sqref="C2:C2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2:D2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E2:E21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2:F21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G2:G21">
    <cfRule type="colorScale" priority="5">
      <colorScale>
        <cfvo type="num" val="0"/>
        <cfvo type="num" val="1.5"/>
        <cfvo type="num" val="3"/>
        <color rgb="FF63BE7B"/>
        <color rgb="FFFFEB84"/>
        <color rgb="FFF8696B"/>
      </colorScale>
    </cfRule>
  </conditionalFormatting>
  <conditionalFormatting sqref="H2:H21">
    <cfRule type="expression" dxfId="5" priority="6">
      <formula>H2="Alta"</formula>
    </cfRule>
    <cfRule type="expression" dxfId="4" priority="7">
      <formula>H2="Media"</formula>
    </cfRule>
    <cfRule type="expression" dxfId="3" priority="8">
      <formula>H2="Baja"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34" customWidth="1"/>
    <col min="2" max="2" width="48" customWidth="1"/>
    <col min="3" max="3" width="10" customWidth="1"/>
    <col min="4" max="4" width="12" customWidth="1"/>
    <col min="5" max="5" width="68" customWidth="1"/>
    <col min="6" max="6" width="15" customWidth="1"/>
    <col min="7" max="7" width="20" customWidth="1"/>
    <col min="8" max="8" width="15" customWidth="1"/>
    <col min="9" max="9" width="40" customWidth="1"/>
  </cols>
  <sheetData>
    <row r="1" spans="1:9" x14ac:dyDescent="0.25">
      <c r="A1" s="4" t="s">
        <v>0</v>
      </c>
      <c r="B1" s="4" t="s">
        <v>1</v>
      </c>
      <c r="C1" s="4" t="s">
        <v>229</v>
      </c>
      <c r="D1" s="4" t="s">
        <v>14</v>
      </c>
      <c r="E1" s="4" t="s">
        <v>17</v>
      </c>
      <c r="F1" s="4" t="s">
        <v>230</v>
      </c>
      <c r="G1" s="4" t="s">
        <v>231</v>
      </c>
      <c r="H1" s="4" t="s">
        <v>232</v>
      </c>
      <c r="I1" s="4" t="s">
        <v>233</v>
      </c>
    </row>
    <row r="2" spans="1:9" ht="28.9" customHeight="1" x14ac:dyDescent="0.25">
      <c r="A2" s="1" t="str">
        <f>Assessment!A2</f>
        <v>Presupuestos y previsiones</v>
      </c>
      <c r="B2" s="1" t="str">
        <f>Assessment!B2</f>
        <v>1.1 Gobierno del proceso presupuestario y forecast</v>
      </c>
      <c r="C2" s="1">
        <f>Assessment!N2</f>
        <v>1</v>
      </c>
      <c r="D2" s="1" t="str">
        <f>Assessment!O2</f>
        <v>Media</v>
      </c>
      <c r="E2" s="1" t="str">
        <f>Assessment!R2</f>
        <v>Diseñar modelo de gobierno FP&amp;A con calendario integrado, RACI, flujo de aprobación, criterios comunes y control de versiones.</v>
      </c>
      <c r="F2" s="1" t="str">
        <f t="shared" ref="F2:F21" si="0">IF(D2="Alta","Oleada 1",IF(D2="Media","Oleada 2","Oleada 3"))</f>
        <v>Oleada 2</v>
      </c>
      <c r="G2" s="1"/>
      <c r="H2" s="1" t="s">
        <v>234</v>
      </c>
      <c r="I2" s="1"/>
    </row>
    <row r="3" spans="1:9" ht="28.9" customHeight="1" x14ac:dyDescent="0.25">
      <c r="A3" s="1" t="str">
        <f>Assessment!A3</f>
        <v>Presupuestos y previsiones</v>
      </c>
      <c r="B3" s="1" t="str">
        <f>Assessment!B3</f>
        <v>1.2 Modelo presupuestario y drivers de planificación</v>
      </c>
      <c r="C3" s="1" t="str">
        <f>Assessment!N3</f>
        <v/>
      </c>
      <c r="D3" s="1" t="str">
        <f>Assessment!O3</f>
        <v/>
      </c>
      <c r="E3" s="1" t="str">
        <f>Assessment!R3</f>
        <v>Evolucionar hacia una planificación basada en drivers, con catálogo de drivers, reglas de cálculo, trazabilidad y análisis de sensibilidad.</v>
      </c>
      <c r="F3" s="1" t="str">
        <f t="shared" si="0"/>
        <v>Oleada 3</v>
      </c>
      <c r="G3" s="1"/>
      <c r="H3" s="1" t="s">
        <v>234</v>
      </c>
      <c r="I3" s="1"/>
    </row>
    <row r="4" spans="1:9" ht="28.9" customHeight="1" x14ac:dyDescent="0.25">
      <c r="A4" s="1" t="str">
        <f>Assessment!A4</f>
        <v>Presupuestos y previsiones</v>
      </c>
      <c r="B4" s="1" t="str">
        <f>Assessment!B4</f>
        <v>1.3 Integración de escenarios y rolling forecast</v>
      </c>
      <c r="C4" s="1" t="str">
        <f>Assessment!N4</f>
        <v/>
      </c>
      <c r="D4" s="1" t="str">
        <f>Assessment!O4</f>
        <v/>
      </c>
      <c r="E4" s="1" t="str">
        <f>Assessment!R4</f>
        <v>Implantar previsión continua (rolling forecast) con escenarios base, optimista y pesimista, supuestos documentados y automatización de los datos de entrada críticos.</v>
      </c>
      <c r="F4" s="1" t="str">
        <f t="shared" si="0"/>
        <v>Oleada 3</v>
      </c>
      <c r="G4" s="1"/>
      <c r="H4" s="1" t="s">
        <v>234</v>
      </c>
      <c r="I4" s="1"/>
    </row>
    <row r="5" spans="1:9" ht="28.9" customHeight="1" x14ac:dyDescent="0.25">
      <c r="A5" s="1" t="str">
        <f>Assessment!A5</f>
        <v>Presupuestos y previsiones</v>
      </c>
      <c r="B5" s="1" t="str">
        <f>Assessment!B5</f>
        <v>1.4 Colaboración y accountability presupuestaria</v>
      </c>
      <c r="C5" s="1" t="str">
        <f>Assessment!N5</f>
        <v/>
      </c>
      <c r="D5" s="1" t="str">
        <f>Assessment!O5</f>
        <v/>
      </c>
      <c r="E5" s="1" t="str">
        <f>Assessment!R5</f>
        <v>Definir la responsabilidad presupuestaria por dimensión y unidad, con flujo colaborativo, contraste financiero y seguimiento de compromisos.</v>
      </c>
      <c r="F5" s="1" t="str">
        <f t="shared" si="0"/>
        <v>Oleada 3</v>
      </c>
      <c r="G5" s="1"/>
      <c r="H5" s="1" t="s">
        <v>234</v>
      </c>
      <c r="I5" s="1"/>
    </row>
    <row r="6" spans="1:9" ht="28.9" customHeight="1" x14ac:dyDescent="0.25">
      <c r="A6" s="1" t="str">
        <f>Assessment!A6</f>
        <v>Informes de gestión del rendimiento</v>
      </c>
      <c r="B6" s="1" t="str">
        <f>Assessment!B6</f>
        <v>2.1 Modelo de reporting de performance</v>
      </c>
      <c r="C6" s="1" t="str">
        <f>Assessment!N6</f>
        <v/>
      </c>
      <c r="D6" s="1" t="str">
        <f>Assessment!O6</f>
        <v/>
      </c>
      <c r="E6" s="1" t="str">
        <f>Assessment!R6</f>
        <v>Rediseñar los informes de gestión alrededor de objetivos, KPIs, desviaciones, causas, responsables y acciones.</v>
      </c>
      <c r="F6" s="1" t="str">
        <f t="shared" si="0"/>
        <v>Oleada 3</v>
      </c>
      <c r="G6" s="1"/>
      <c r="H6" s="1" t="s">
        <v>234</v>
      </c>
      <c r="I6" s="1"/>
    </row>
    <row r="7" spans="1:9" ht="28.9" customHeight="1" x14ac:dyDescent="0.25">
      <c r="A7" s="1" t="str">
        <f>Assessment!A7</f>
        <v>Informes de gestión del rendimiento</v>
      </c>
      <c r="B7" s="1" t="str">
        <f>Assessment!B7</f>
        <v>2.2 Análisis de desviaciones y causa-raíz</v>
      </c>
      <c r="C7" s="1" t="str">
        <f>Assessment!N7</f>
        <v/>
      </c>
      <c r="D7" s="1" t="str">
        <f>Assessment!O7</f>
        <v/>
      </c>
      <c r="E7" s="1" t="str">
        <f>Assessment!R7</f>
        <v>Crear metodología de análisis de desviaciones por driver, dimensión, responsable, causa-raíz, acción y seguimiento.</v>
      </c>
      <c r="F7" s="1" t="str">
        <f t="shared" si="0"/>
        <v>Oleada 3</v>
      </c>
      <c r="G7" s="1"/>
      <c r="H7" s="1" t="s">
        <v>234</v>
      </c>
      <c r="I7" s="1"/>
    </row>
    <row r="8" spans="1:9" ht="28.9" customHeight="1" x14ac:dyDescent="0.25">
      <c r="A8" s="1" t="str">
        <f>Assessment!A8</f>
        <v>Informes de gestión del rendimiento</v>
      </c>
      <c r="B8" s="1" t="str">
        <f>Assessment!B8</f>
        <v>2.3 Cuadros de mando y visualización ejecutiva</v>
      </c>
      <c r="C8" s="1" t="str">
        <f>Assessment!N8</f>
        <v/>
      </c>
      <c r="D8" s="1" t="str">
        <f>Assessment!O8</f>
        <v/>
      </c>
      <c r="E8" s="1" t="str">
        <f>Assessment!R8</f>
        <v>Implantar cuadro de mando FP&amp;A con KPIs homologados, navegación al detalle, acceso por perfil y automatización de datos.</v>
      </c>
      <c r="F8" s="1" t="str">
        <f t="shared" si="0"/>
        <v>Oleada 3</v>
      </c>
      <c r="G8" s="1"/>
      <c r="H8" s="1" t="s">
        <v>234</v>
      </c>
      <c r="I8" s="1"/>
    </row>
    <row r="9" spans="1:9" ht="28.9" customHeight="1" x14ac:dyDescent="0.25">
      <c r="A9" s="1" t="str">
        <f>Assessment!A9</f>
        <v>Informes de gestión del rendimiento</v>
      </c>
      <c r="B9" s="1" t="str">
        <f>Assessment!B9</f>
        <v>2.4 Rutinas de performance y toma de acciones</v>
      </c>
      <c r="C9" s="1" t="str">
        <f>Assessment!N9</f>
        <v/>
      </c>
      <c r="D9" s="1" t="str">
        <f>Assessment!O9</f>
        <v/>
      </c>
      <c r="E9" s="1" t="str">
        <f>Assessment!R9</f>
        <v>Formalizar rutinas de revisión del rendimiento con agenda estándar, registro de acciones, responsables, beneficios esperados y seguimiento.</v>
      </c>
      <c r="F9" s="1" t="str">
        <f t="shared" si="0"/>
        <v>Oleada 3</v>
      </c>
      <c r="G9" s="1"/>
      <c r="H9" s="1" t="s">
        <v>234</v>
      </c>
      <c r="I9" s="1"/>
    </row>
    <row r="10" spans="1:9" ht="28.9" customHeight="1" x14ac:dyDescent="0.25">
      <c r="A10" s="1" t="str">
        <f>Assessment!A10</f>
        <v>Evaluación business case</v>
      </c>
      <c r="B10" s="1" t="str">
        <f>Assessment!B10</f>
        <v>3.1 Metodología de business case</v>
      </c>
      <c r="C10" s="1" t="str">
        <f>Assessment!N10</f>
        <v/>
      </c>
      <c r="D10" s="1" t="str">
        <f>Assessment!O10</f>
        <v/>
      </c>
      <c r="E10" s="1" t="str">
        <f>Assessment!R10</f>
        <v>Diseñar metodología corporativa de business case con plantillas, métricas, supuestos, riesgos, escenarios y gobierno de aprobación.</v>
      </c>
      <c r="F10" s="1" t="str">
        <f t="shared" si="0"/>
        <v>Oleada 3</v>
      </c>
      <c r="G10" s="1"/>
      <c r="H10" s="1" t="s">
        <v>234</v>
      </c>
      <c r="I10" s="1"/>
    </row>
    <row r="11" spans="1:9" ht="28.9" customHeight="1" x14ac:dyDescent="0.25">
      <c r="A11" s="1" t="str">
        <f>Assessment!A11</f>
        <v>Evaluación business case</v>
      </c>
      <c r="B11" s="1" t="str">
        <f>Assessment!B11</f>
        <v>3.2 Modelización financiera de iniciativas</v>
      </c>
      <c r="C11" s="1" t="str">
        <f>Assessment!N11</f>
        <v/>
      </c>
      <c r="D11" s="1" t="str">
        <f>Assessment!O11</f>
        <v/>
      </c>
      <c r="E11" s="1" t="str">
        <f>Assessment!R11</f>
        <v>Construir modelo financiero estándar para iniciativas con cuenta de resultados, caja, balance, sensibilidad, escenarios y trazabilidad de supuestos.</v>
      </c>
      <c r="F11" s="1" t="str">
        <f t="shared" si="0"/>
        <v>Oleada 3</v>
      </c>
      <c r="G11" s="1"/>
      <c r="H11" s="1" t="s">
        <v>234</v>
      </c>
      <c r="I11" s="1"/>
    </row>
    <row r="12" spans="1:9" ht="28.9" customHeight="1" x14ac:dyDescent="0.25">
      <c r="A12" s="1" t="str">
        <f>Assessment!A12</f>
        <v>Evaluación business case</v>
      </c>
      <c r="B12" s="1" t="str">
        <f>Assessment!B12</f>
        <v>3.3 Priorización y asignación de capital</v>
      </c>
      <c r="C12" s="1" t="str">
        <f>Assessment!N12</f>
        <v/>
      </c>
      <c r="D12" s="1" t="str">
        <f>Assessment!O12</f>
        <v/>
      </c>
      <c r="E12" s="1" t="str">
        <f>Assessment!R12</f>
        <v>Crear modelo de priorización de iniciativas basado en valor, esfuerzo, riesgo, alineamiento, dependencias y capacidad de ejecución.</v>
      </c>
      <c r="F12" s="1" t="str">
        <f t="shared" si="0"/>
        <v>Oleada 3</v>
      </c>
      <c r="G12" s="1"/>
      <c r="H12" s="1" t="s">
        <v>234</v>
      </c>
      <c r="I12" s="1"/>
    </row>
    <row r="13" spans="1:9" ht="28.9" customHeight="1" x14ac:dyDescent="0.25">
      <c r="A13" s="1" t="str">
        <f>Assessment!A13</f>
        <v>Evaluación business case</v>
      </c>
      <c r="B13" s="1" t="str">
        <f>Assessment!B13</f>
        <v>3.4 Seguimiento de beneficios y post-mortem</v>
      </c>
      <c r="C13" s="1" t="str">
        <f>Assessment!N13</f>
        <v/>
      </c>
      <c r="D13" s="1" t="str">
        <f>Assessment!O13</f>
        <v/>
      </c>
      <c r="E13" s="1" t="str">
        <f>Assessment!R13</f>
        <v>Implantar seguimiento de beneficios con responsables, métricas, línea base, revisiones periódicas y revisión posterior a la implantación.</v>
      </c>
      <c r="F13" s="1" t="str">
        <f t="shared" si="0"/>
        <v>Oleada 3</v>
      </c>
      <c r="G13" s="1"/>
      <c r="H13" s="1" t="s">
        <v>234</v>
      </c>
      <c r="I13" s="1"/>
    </row>
    <row r="14" spans="1:9" ht="28.9" customHeight="1" x14ac:dyDescent="0.25">
      <c r="A14" s="1" t="str">
        <f>Assessment!A14</f>
        <v>Información y apoyo a la toma de decisiones</v>
      </c>
      <c r="B14" s="1" t="str">
        <f>Assessment!B14</f>
        <v>4.1 Modelo de información para la decisión</v>
      </c>
      <c r="C14" s="1" t="str">
        <f>Assessment!N14</f>
        <v/>
      </c>
      <c r="D14" s="1" t="str">
        <f>Assessment!O14</f>
        <v/>
      </c>
      <c r="E14" s="1" t="str">
        <f>Assessment!R14</f>
        <v>Definir mapa de decisiones FP&amp;A y modelo de información asociado, con KPIs, dimensiones, reglas de cálculo y fuentes oficiales.</v>
      </c>
      <c r="F14" s="1" t="str">
        <f t="shared" si="0"/>
        <v>Oleada 3</v>
      </c>
      <c r="G14" s="1"/>
      <c r="H14" s="1" t="s">
        <v>234</v>
      </c>
      <c r="I14" s="1"/>
    </row>
    <row r="15" spans="1:9" ht="28.9" customHeight="1" x14ac:dyDescent="0.25">
      <c r="A15" s="1" t="str">
        <f>Assessment!A15</f>
        <v>Información y apoyo a la toma de decisiones</v>
      </c>
      <c r="B15" s="1" t="str">
        <f>Assessment!B15</f>
        <v>4.2 Análisis avanzado y escenarios para decisión</v>
      </c>
      <c r="C15" s="1" t="str">
        <f>Assessment!N15</f>
        <v/>
      </c>
      <c r="D15" s="1" t="str">
        <f>Assessment!O15</f>
        <v/>
      </c>
      <c r="E15" s="1" t="str">
        <f>Assessment!R15</f>
        <v>Crear marco de análisis de escenarios para decisiones clave, con drivers, impactos, sensibilidad y recomendaciones.</v>
      </c>
      <c r="F15" s="1" t="str">
        <f t="shared" si="0"/>
        <v>Oleada 3</v>
      </c>
      <c r="G15" s="1"/>
      <c r="H15" s="1" t="s">
        <v>234</v>
      </c>
      <c r="I15" s="1"/>
    </row>
    <row r="16" spans="1:9" ht="28.9" customHeight="1" x14ac:dyDescent="0.25">
      <c r="A16" s="1" t="str">
        <f>Assessment!A16</f>
        <v>Información y apoyo a la toma de decisiones</v>
      </c>
      <c r="B16" s="1" t="str">
        <f>Assessment!B16</f>
        <v>4.3 Finance business partnering y challenge al negocio</v>
      </c>
      <c r="C16" s="1" t="str">
        <f>Assessment!N16</f>
        <v/>
      </c>
      <c r="D16" s="1" t="str">
        <f>Assessment!O16</f>
        <v/>
      </c>
      <c r="E16" s="1" t="str">
        <f>Assessment!R16</f>
        <v>Definir modelo de Finanzas como socio del negocio (business partnering) con roles, responsabilidades, foros de decisión, capacidades requeridas y métricas de valor.</v>
      </c>
      <c r="F16" s="1" t="str">
        <f t="shared" si="0"/>
        <v>Oleada 3</v>
      </c>
      <c r="G16" s="1"/>
      <c r="H16" s="1" t="s">
        <v>234</v>
      </c>
      <c r="I16" s="1"/>
    </row>
    <row r="17" spans="1:9" ht="28.9" customHeight="1" x14ac:dyDescent="0.25">
      <c r="A17" s="1" t="str">
        <f>Assessment!A17</f>
        <v>Información y apoyo a la toma de decisiones</v>
      </c>
      <c r="B17" s="1" t="str">
        <f>Assessment!B17</f>
        <v>4.4 Narrativa financiera y comunicación ejecutiva</v>
      </c>
      <c r="C17" s="1" t="str">
        <f>Assessment!N17</f>
        <v/>
      </c>
      <c r="D17" s="1" t="str">
        <f>Assessment!O17</f>
        <v/>
      </c>
      <c r="E17" s="1" t="str">
        <f>Assessment!R17</f>
        <v>Estandarizar narrativa FP&amp;A con estructura de mensaje ejecutivo, drivers, riesgos, oportunidades, decisiones requeridas y acciones.</v>
      </c>
      <c r="F17" s="1" t="str">
        <f t="shared" si="0"/>
        <v>Oleada 3</v>
      </c>
      <c r="G17" s="1"/>
      <c r="H17" s="1" t="s">
        <v>234</v>
      </c>
      <c r="I17" s="1"/>
    </row>
    <row r="18" spans="1:9" ht="28.9" customHeight="1" x14ac:dyDescent="0.25">
      <c r="A18" s="1" t="str">
        <f>Assessment!A18</f>
        <v>Planificación largo plazo</v>
      </c>
      <c r="B18" s="1" t="str">
        <f>Assessment!B18</f>
        <v>5.1 Plan financiero estratégico y horizonte plurianual</v>
      </c>
      <c r="C18" s="1" t="str">
        <f>Assessment!N18</f>
        <v/>
      </c>
      <c r="D18" s="1" t="str">
        <f>Assessment!O18</f>
        <v/>
      </c>
      <c r="E18" s="1" t="str">
        <f>Assessment!R18</f>
        <v>Desarrollar plan financiero plurianual integrado con estrategia, drivers, escenarios, KPIs y proceso de revisión periódica.</v>
      </c>
      <c r="F18" s="1" t="str">
        <f t="shared" si="0"/>
        <v>Oleada 3</v>
      </c>
      <c r="G18" s="1"/>
      <c r="H18" s="1" t="s">
        <v>234</v>
      </c>
      <c r="I18" s="1"/>
    </row>
    <row r="19" spans="1:9" ht="28.9" customHeight="1" x14ac:dyDescent="0.25">
      <c r="A19" s="1" t="str">
        <f>Assessment!A19</f>
        <v>Planificación largo plazo</v>
      </c>
      <c r="B19" s="1" t="str">
        <f>Assessment!B19</f>
        <v>5.2 Escenarios estratégicos y stress testing</v>
      </c>
      <c r="C19" s="1" t="str">
        <f>Assessment!N19</f>
        <v/>
      </c>
      <c r="D19" s="1" t="str">
        <f>Assessment!O19</f>
        <v/>
      </c>
      <c r="E19" s="1" t="str">
        <f>Assessment!R19</f>
        <v>Crear metodología de escenarios estratégicos y pruebas de estrés con variables clave, impactos financieros y planes de respuesta.</v>
      </c>
      <c r="F19" s="1" t="str">
        <f t="shared" si="0"/>
        <v>Oleada 3</v>
      </c>
      <c r="G19" s="1"/>
      <c r="H19" s="1" t="s">
        <v>234</v>
      </c>
      <c r="I19" s="1"/>
    </row>
    <row r="20" spans="1:9" ht="28.9" customHeight="1" x14ac:dyDescent="0.25">
      <c r="A20" s="1" t="str">
        <f>Assessment!A20</f>
        <v>Planificación largo plazo</v>
      </c>
      <c r="B20" s="1" t="str">
        <f>Assessment!B20</f>
        <v>5.3 Conexión entre estrategia, presupuesto y ejecución</v>
      </c>
      <c r="C20" s="1" t="str">
        <f>Assessment!N20</f>
        <v/>
      </c>
      <c r="D20" s="1" t="str">
        <f>Assessment!O20</f>
        <v/>
      </c>
      <c r="E20" s="1" t="str">
        <f>Assessment!R20</f>
        <v>Diseñar puente estrategia-presupuesto-ejecución con objetivos financieros, iniciativas, KPIs, responsables y seguimiento de recursos.</v>
      </c>
      <c r="F20" s="1" t="str">
        <f t="shared" si="0"/>
        <v>Oleada 3</v>
      </c>
      <c r="G20" s="1"/>
      <c r="H20" s="1" t="s">
        <v>234</v>
      </c>
      <c r="I20" s="1"/>
    </row>
    <row r="21" spans="1:9" ht="28.9" customHeight="1" x14ac:dyDescent="0.25">
      <c r="A21" s="1" t="str">
        <f>Assessment!A21</f>
        <v>Planificación largo plazo</v>
      </c>
      <c r="B21" s="1" t="str">
        <f>Assessment!B21</f>
        <v>5.4 Seguimiento de creación de valor a largo plazo</v>
      </c>
      <c r="C21" s="1" t="str">
        <f>Assessment!N21</f>
        <v/>
      </c>
      <c r="D21" s="1" t="str">
        <f>Assessment!O21</f>
        <v/>
      </c>
      <c r="E21" s="1" t="str">
        <f>Assessment!R21</f>
        <v>Implantar modelo de seguimiento de creación de valor con KPIs, beneficios, riesgos, responsables y revisión periódica de asignación de recursos.</v>
      </c>
      <c r="F21" s="1" t="str">
        <f t="shared" si="0"/>
        <v>Oleada 3</v>
      </c>
      <c r="G21" s="1"/>
      <c r="H21" s="1" t="s">
        <v>234</v>
      </c>
      <c r="I21" s="1"/>
    </row>
  </sheetData>
  <autoFilter ref="A1:I21" xr:uid="{00000000-0009-0000-0000-000003000000}"/>
  <conditionalFormatting sqref="D2:D21">
    <cfRule type="expression" dxfId="2" priority="1">
      <formula>D2="Alta"</formula>
    </cfRule>
    <cfRule type="expression" dxfId="1" priority="2">
      <formula>D2="Media"</formula>
    </cfRule>
    <cfRule type="expression" dxfId="0" priority="3">
      <formula>D2="Baja"</formula>
    </cfRule>
  </conditionalFormatting>
  <dataValidations count="1">
    <dataValidation type="list" sqref="H2:H21" xr:uid="{00000000-0002-0000-0300-000000000000}">
      <formula1>"No iniciado,En curso,Completado,En riesgo"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/>
  </sheetViews>
  <sheetFormatPr defaultRowHeight="15" x14ac:dyDescent="0.25"/>
  <cols>
    <col min="1" max="1" width="120" customWidth="1"/>
  </cols>
  <sheetData>
    <row r="1" spans="1:1" ht="18" customHeight="1" x14ac:dyDescent="0.25">
      <c r="A1" s="5" t="s">
        <v>235</v>
      </c>
    </row>
    <row r="2" spans="1:1" x14ac:dyDescent="0.25">
      <c r="A2" s="3" t="s">
        <v>236</v>
      </c>
    </row>
    <row r="3" spans="1:1" x14ac:dyDescent="0.25">
      <c r="A3" s="3" t="s">
        <v>237</v>
      </c>
    </row>
    <row r="4" spans="1:1" x14ac:dyDescent="0.25">
      <c r="A4" s="3" t="s">
        <v>238</v>
      </c>
    </row>
    <row r="5" spans="1:1" x14ac:dyDescent="0.25">
      <c r="A5" s="3" t="s">
        <v>239</v>
      </c>
    </row>
    <row r="6" spans="1:1" x14ac:dyDescent="0.25">
      <c r="A6" s="3" t="s">
        <v>240</v>
      </c>
    </row>
    <row r="7" spans="1:1" x14ac:dyDescent="0.25">
      <c r="A7" s="3" t="s">
        <v>241</v>
      </c>
    </row>
    <row r="8" spans="1:1" x14ac:dyDescent="0.25">
      <c r="A8" s="3" t="s">
        <v>242</v>
      </c>
    </row>
    <row r="9" spans="1:1" x14ac:dyDescent="0.25">
      <c r="A9" s="3" t="s">
        <v>243</v>
      </c>
    </row>
    <row r="10" spans="1:1" x14ac:dyDescent="0.25">
      <c r="A10" s="3" t="s">
        <v>244</v>
      </c>
    </row>
    <row r="11" spans="1:1" x14ac:dyDescent="0.25">
      <c r="A11" s="3" t="s">
        <v>245</v>
      </c>
    </row>
    <row r="12" spans="1:1" x14ac:dyDescent="0.25">
      <c r="A12" s="3" t="s">
        <v>246</v>
      </c>
    </row>
    <row r="13" spans="1:1" x14ac:dyDescent="0.25">
      <c r="A13" s="3" t="s">
        <v>247</v>
      </c>
    </row>
    <row r="14" spans="1:1" x14ac:dyDescent="0.25">
      <c r="A14" s="3" t="s">
        <v>248</v>
      </c>
    </row>
    <row r="15" spans="1:1" x14ac:dyDescent="0.25">
      <c r="A15" s="3" t="s">
        <v>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1"/>
  <sheetViews>
    <sheetView workbookViewId="0">
      <selection activeCell="G25" sqref="G25"/>
    </sheetView>
  </sheetViews>
  <sheetFormatPr defaultRowHeight="15" x14ac:dyDescent="0.25"/>
  <cols>
    <col min="1" max="1" width="120" customWidth="1"/>
  </cols>
  <sheetData>
    <row r="1" spans="1:1" x14ac:dyDescent="0.25">
      <c r="A1" s="6" t="s">
        <v>250</v>
      </c>
    </row>
    <row r="3" spans="1:1" x14ac:dyDescent="0.25">
      <c r="A3" s="6" t="s">
        <v>251</v>
      </c>
    </row>
    <row r="4" spans="1:1" x14ac:dyDescent="0.25">
      <c r="A4" t="s">
        <v>252</v>
      </c>
    </row>
    <row r="5" spans="1:1" x14ac:dyDescent="0.25">
      <c r="A5" t="s">
        <v>253</v>
      </c>
    </row>
    <row r="6" spans="1:1" x14ac:dyDescent="0.25">
      <c r="A6" t="s">
        <v>254</v>
      </c>
    </row>
    <row r="7" spans="1:1" x14ac:dyDescent="0.25">
      <c r="A7" t="s">
        <v>255</v>
      </c>
    </row>
    <row r="8" spans="1:1" x14ac:dyDescent="0.25">
      <c r="A8" t="s">
        <v>256</v>
      </c>
    </row>
    <row r="9" spans="1:1" x14ac:dyDescent="0.25">
      <c r="A9" t="s">
        <v>257</v>
      </c>
    </row>
    <row r="10" spans="1:1" x14ac:dyDescent="0.25">
      <c r="A10" t="s">
        <v>258</v>
      </c>
    </row>
    <row r="11" spans="1:1" x14ac:dyDescent="0.25">
      <c r="A11" t="s">
        <v>259</v>
      </c>
    </row>
    <row r="12" spans="1:1" x14ac:dyDescent="0.25">
      <c r="A12" t="s">
        <v>260</v>
      </c>
    </row>
    <row r="13" spans="1:1" x14ac:dyDescent="0.25">
      <c r="A13" t="s">
        <v>261</v>
      </c>
    </row>
    <row r="15" spans="1:1" x14ac:dyDescent="0.25">
      <c r="A15" s="6" t="s">
        <v>262</v>
      </c>
    </row>
    <row r="16" spans="1:1" x14ac:dyDescent="0.25">
      <c r="A16" t="s">
        <v>263</v>
      </c>
    </row>
    <row r="17" spans="1:1" x14ac:dyDescent="0.25">
      <c r="A17" t="s">
        <v>264</v>
      </c>
    </row>
    <row r="18" spans="1:1" x14ac:dyDescent="0.25">
      <c r="A18" t="s">
        <v>265</v>
      </c>
    </row>
    <row r="19" spans="1:1" x14ac:dyDescent="0.25">
      <c r="A19" t="s">
        <v>266</v>
      </c>
    </row>
    <row r="20" spans="1:1" x14ac:dyDescent="0.25">
      <c r="A20" t="s">
        <v>267</v>
      </c>
    </row>
    <row r="21" spans="1:1" x14ac:dyDescent="0.25">
      <c r="A21" t="s">
        <v>257</v>
      </c>
    </row>
    <row r="22" spans="1:1" x14ac:dyDescent="0.25">
      <c r="A22" t="s">
        <v>268</v>
      </c>
    </row>
    <row r="23" spans="1:1" x14ac:dyDescent="0.25">
      <c r="A23" t="s">
        <v>269</v>
      </c>
    </row>
    <row r="24" spans="1:1" x14ac:dyDescent="0.25">
      <c r="A24" t="s">
        <v>270</v>
      </c>
    </row>
    <row r="25" spans="1:1" x14ac:dyDescent="0.25">
      <c r="A25" t="s">
        <v>271</v>
      </c>
    </row>
    <row r="27" spans="1:1" x14ac:dyDescent="0.25">
      <c r="A27" s="6" t="s">
        <v>272</v>
      </c>
    </row>
    <row r="28" spans="1:1" x14ac:dyDescent="0.25">
      <c r="A28" t="s">
        <v>273</v>
      </c>
    </row>
    <row r="29" spans="1:1" x14ac:dyDescent="0.25">
      <c r="A29" t="s">
        <v>274</v>
      </c>
    </row>
    <row r="30" spans="1:1" x14ac:dyDescent="0.25">
      <c r="A30" t="s">
        <v>307</v>
      </c>
    </row>
    <row r="31" spans="1:1" x14ac:dyDescent="0.25">
      <c r="A31" t="s">
        <v>308</v>
      </c>
    </row>
    <row r="32" spans="1:1" x14ac:dyDescent="0.25">
      <c r="A32" t="s">
        <v>309</v>
      </c>
    </row>
    <row r="33" spans="1:1" x14ac:dyDescent="0.25">
      <c r="A33" t="s">
        <v>257</v>
      </c>
    </row>
    <row r="34" spans="1:1" x14ac:dyDescent="0.25">
      <c r="A34" t="s">
        <v>310</v>
      </c>
    </row>
    <row r="35" spans="1:1" x14ac:dyDescent="0.25">
      <c r="A35" t="s">
        <v>311</v>
      </c>
    </row>
    <row r="36" spans="1:1" x14ac:dyDescent="0.25">
      <c r="A36" t="s">
        <v>281</v>
      </c>
    </row>
    <row r="37" spans="1:1" x14ac:dyDescent="0.25">
      <c r="A37" t="s">
        <v>282</v>
      </c>
    </row>
    <row r="39" spans="1:1" x14ac:dyDescent="0.25">
      <c r="A39" s="6" t="s">
        <v>283</v>
      </c>
    </row>
    <row r="40" spans="1:1" x14ac:dyDescent="0.25">
      <c r="A40" t="s">
        <v>284</v>
      </c>
    </row>
    <row r="41" spans="1:1" x14ac:dyDescent="0.25">
      <c r="A41" t="s">
        <v>285</v>
      </c>
    </row>
    <row r="42" spans="1:1" x14ac:dyDescent="0.25">
      <c r="A42" t="s">
        <v>286</v>
      </c>
    </row>
    <row r="43" spans="1:1" x14ac:dyDescent="0.25">
      <c r="A43" t="s">
        <v>287</v>
      </c>
    </row>
    <row r="46" spans="1:1" x14ac:dyDescent="0.25">
      <c r="A46" t="s">
        <v>275</v>
      </c>
    </row>
    <row r="47" spans="1:1" x14ac:dyDescent="0.25">
      <c r="A47" t="s">
        <v>276</v>
      </c>
    </row>
    <row r="48" spans="1:1" x14ac:dyDescent="0.25">
      <c r="A48" t="s">
        <v>277</v>
      </c>
    </row>
    <row r="49" spans="1:1" x14ac:dyDescent="0.25">
      <c r="A49" t="s">
        <v>278</v>
      </c>
    </row>
    <row r="50" spans="1:1" x14ac:dyDescent="0.25">
      <c r="A50" t="s">
        <v>279</v>
      </c>
    </row>
    <row r="51" spans="1:1" x14ac:dyDescent="0.25">
      <c r="A51" t="s">
        <v>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zoomScale="90" zoomScaleNormal="90" workbookViewId="0">
      <selection activeCell="C2" sqref="C2"/>
    </sheetView>
  </sheetViews>
  <sheetFormatPr defaultRowHeight="15" x14ac:dyDescent="0.25"/>
  <cols>
    <col min="1" max="1" width="35" customWidth="1"/>
    <col min="2" max="2" width="20" customWidth="1"/>
    <col min="3" max="3" width="70" customWidth="1"/>
    <col min="4" max="4" width="90" customWidth="1"/>
    <col min="5" max="5" width="40" customWidth="1"/>
  </cols>
  <sheetData>
    <row r="1" spans="1:5" x14ac:dyDescent="0.25">
      <c r="A1" s="6" t="s">
        <v>0</v>
      </c>
      <c r="B1" s="6" t="s">
        <v>1</v>
      </c>
      <c r="C1" s="6" t="s">
        <v>288</v>
      </c>
      <c r="D1" s="6" t="s">
        <v>289</v>
      </c>
      <c r="E1" s="6" t="s">
        <v>290</v>
      </c>
    </row>
    <row r="2" spans="1:5" x14ac:dyDescent="0.25">
      <c r="A2" t="s">
        <v>19</v>
      </c>
      <c r="B2" t="s">
        <v>20</v>
      </c>
      <c r="C2" t="s">
        <v>351</v>
      </c>
      <c r="D2" t="s">
        <v>313</v>
      </c>
      <c r="E2" t="s">
        <v>294</v>
      </c>
    </row>
    <row r="3" spans="1:5" x14ac:dyDescent="0.25">
      <c r="A3" t="s">
        <v>19</v>
      </c>
      <c r="B3" t="s">
        <v>30</v>
      </c>
      <c r="C3" t="s">
        <v>352</v>
      </c>
      <c r="D3" t="s">
        <v>315</v>
      </c>
      <c r="E3" t="s">
        <v>294</v>
      </c>
    </row>
    <row r="4" spans="1:5" x14ac:dyDescent="0.25">
      <c r="A4" t="s">
        <v>19</v>
      </c>
      <c r="B4" t="s">
        <v>40</v>
      </c>
      <c r="C4" t="s">
        <v>353</v>
      </c>
      <c r="D4" t="s">
        <v>317</v>
      </c>
      <c r="E4" t="s">
        <v>294</v>
      </c>
    </row>
    <row r="5" spans="1:5" x14ac:dyDescent="0.25">
      <c r="A5" t="s">
        <v>19</v>
      </c>
      <c r="B5" t="s">
        <v>50</v>
      </c>
      <c r="C5" t="s">
        <v>354</v>
      </c>
      <c r="D5" t="s">
        <v>319</v>
      </c>
      <c r="E5" t="s">
        <v>294</v>
      </c>
    </row>
    <row r="6" spans="1:5" x14ac:dyDescent="0.25">
      <c r="A6" t="s">
        <v>60</v>
      </c>
      <c r="B6" t="s">
        <v>61</v>
      </c>
      <c r="C6" t="s">
        <v>355</v>
      </c>
      <c r="D6" t="s">
        <v>321</v>
      </c>
      <c r="E6" t="s">
        <v>294</v>
      </c>
    </row>
    <row r="7" spans="1:5" x14ac:dyDescent="0.25">
      <c r="A7" t="s">
        <v>60</v>
      </c>
      <c r="B7" t="s">
        <v>71</v>
      </c>
      <c r="C7" t="s">
        <v>356</v>
      </c>
      <c r="D7" t="s">
        <v>323</v>
      </c>
      <c r="E7" t="s">
        <v>294</v>
      </c>
    </row>
    <row r="8" spans="1:5" x14ac:dyDescent="0.25">
      <c r="A8" t="s">
        <v>60</v>
      </c>
      <c r="B8" t="s">
        <v>81</v>
      </c>
      <c r="C8" t="s">
        <v>357</v>
      </c>
      <c r="D8" t="s">
        <v>325</v>
      </c>
      <c r="E8" t="s">
        <v>294</v>
      </c>
    </row>
    <row r="9" spans="1:5" x14ac:dyDescent="0.25">
      <c r="A9" t="s">
        <v>60</v>
      </c>
      <c r="B9" t="s">
        <v>91</v>
      </c>
      <c r="C9" t="s">
        <v>358</v>
      </c>
      <c r="D9" t="s">
        <v>327</v>
      </c>
      <c r="E9" t="s">
        <v>294</v>
      </c>
    </row>
    <row r="10" spans="1:5" x14ac:dyDescent="0.25">
      <c r="A10" t="s">
        <v>101</v>
      </c>
      <c r="B10" t="s">
        <v>102</v>
      </c>
      <c r="C10" t="s">
        <v>369</v>
      </c>
      <c r="D10" t="s">
        <v>329</v>
      </c>
      <c r="E10" t="s">
        <v>294</v>
      </c>
    </row>
    <row r="11" spans="1:5" x14ac:dyDescent="0.25">
      <c r="A11" t="s">
        <v>101</v>
      </c>
      <c r="B11" t="s">
        <v>112</v>
      </c>
      <c r="C11" t="s">
        <v>360</v>
      </c>
      <c r="D11" t="s">
        <v>331</v>
      </c>
      <c r="E11" t="s">
        <v>294</v>
      </c>
    </row>
    <row r="12" spans="1:5" x14ac:dyDescent="0.25">
      <c r="A12" t="s">
        <v>101</v>
      </c>
      <c r="B12" t="s">
        <v>122</v>
      </c>
      <c r="C12" t="s">
        <v>361</v>
      </c>
      <c r="D12" t="s">
        <v>333</v>
      </c>
      <c r="E12" t="s">
        <v>294</v>
      </c>
    </row>
    <row r="13" spans="1:5" x14ac:dyDescent="0.25">
      <c r="A13" t="s">
        <v>101</v>
      </c>
      <c r="B13" t="s">
        <v>132</v>
      </c>
      <c r="C13" t="s">
        <v>362</v>
      </c>
      <c r="D13" t="s">
        <v>335</v>
      </c>
      <c r="E13" t="s">
        <v>294</v>
      </c>
    </row>
    <row r="14" spans="1:5" x14ac:dyDescent="0.25">
      <c r="A14" t="s">
        <v>142</v>
      </c>
      <c r="B14" t="s">
        <v>143</v>
      </c>
      <c r="C14" t="s">
        <v>363</v>
      </c>
      <c r="D14" t="s">
        <v>337</v>
      </c>
      <c r="E14" t="s">
        <v>294</v>
      </c>
    </row>
    <row r="15" spans="1:5" x14ac:dyDescent="0.25">
      <c r="A15" t="s">
        <v>142</v>
      </c>
      <c r="B15" t="s">
        <v>153</v>
      </c>
      <c r="C15" t="s">
        <v>364</v>
      </c>
      <c r="D15" t="s">
        <v>338</v>
      </c>
      <c r="E15" t="s">
        <v>294</v>
      </c>
    </row>
    <row r="16" spans="1:5" x14ac:dyDescent="0.25">
      <c r="A16" t="s">
        <v>142</v>
      </c>
      <c r="B16" t="s">
        <v>163</v>
      </c>
      <c r="C16" t="s">
        <v>357</v>
      </c>
      <c r="D16" t="s">
        <v>340</v>
      </c>
      <c r="E16" t="s">
        <v>294</v>
      </c>
    </row>
    <row r="17" spans="1:5" x14ac:dyDescent="0.25">
      <c r="A17" t="s">
        <v>142</v>
      </c>
      <c r="B17" t="s">
        <v>173</v>
      </c>
      <c r="C17" t="s">
        <v>365</v>
      </c>
      <c r="D17" t="s">
        <v>342</v>
      </c>
      <c r="E17" t="s">
        <v>294</v>
      </c>
    </row>
    <row r="18" spans="1:5" x14ac:dyDescent="0.25">
      <c r="A18" t="s">
        <v>183</v>
      </c>
      <c r="B18" t="s">
        <v>184</v>
      </c>
      <c r="C18" t="s">
        <v>343</v>
      </c>
      <c r="D18" t="s">
        <v>344</v>
      </c>
      <c r="E18" t="s">
        <v>294</v>
      </c>
    </row>
    <row r="19" spans="1:5" x14ac:dyDescent="0.25">
      <c r="A19" t="s">
        <v>183</v>
      </c>
      <c r="B19" t="s">
        <v>194</v>
      </c>
      <c r="C19" t="s">
        <v>366</v>
      </c>
      <c r="D19" t="s">
        <v>346</v>
      </c>
      <c r="E19" t="s">
        <v>294</v>
      </c>
    </row>
    <row r="20" spans="1:5" x14ac:dyDescent="0.25">
      <c r="A20" t="s">
        <v>183</v>
      </c>
      <c r="B20" t="s">
        <v>204</v>
      </c>
      <c r="C20" t="s">
        <v>367</v>
      </c>
      <c r="D20" t="s">
        <v>348</v>
      </c>
      <c r="E20" t="s">
        <v>294</v>
      </c>
    </row>
    <row r="21" spans="1:5" x14ac:dyDescent="0.25">
      <c r="A21" t="s">
        <v>183</v>
      </c>
      <c r="B21" t="s">
        <v>214</v>
      </c>
      <c r="C21" t="s">
        <v>368</v>
      </c>
      <c r="D21" t="s">
        <v>350</v>
      </c>
      <c r="E21" t="s">
        <v>294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FA29F310CEA4A92E7055778740EF9" ma:contentTypeVersion="3" ma:contentTypeDescription="Create a new document." ma:contentTypeScope="" ma:versionID="a017abb239fb9c037b5dc0682d70dc57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1966c78adab71b0c18f335b24e3dfb8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A57799-F645-49FE-8764-52552CBD62F9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a3482d0-81c1-4135-8399-90eebe419dbb"/>
  </ds:schemaRefs>
</ds:datastoreItem>
</file>

<file path=customXml/itemProps2.xml><?xml version="1.0" encoding="utf-8"?>
<ds:datastoreItem xmlns:ds="http://schemas.openxmlformats.org/officeDocument/2006/customXml" ds:itemID="{3F5FCFB0-A679-4FEF-A0A3-673878800B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A43ECF-3DB3-46FB-8A26-993B31AF9BB6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Instrucciones</vt:lpstr>
      <vt:lpstr>Guias scoring</vt:lpstr>
      <vt:lpstr>AI Overlay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2026-06-26T09:56:08Z</dcterms:created>
  <dcterms:modified xsi:type="dcterms:W3CDTF">2026-07-07T07:54:11Z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