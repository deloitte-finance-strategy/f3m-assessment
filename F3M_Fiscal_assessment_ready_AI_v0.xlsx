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Fiscal/"/>
    </mc:Choice>
  </mc:AlternateContent>
  <xr:revisionPtr revIDLastSave="0" documentId="8_{6A209A46-9B0A-4656-B393-8388F90A863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Overlay'!$A$1:$E$17</definedName>
    <definedName name="_xlnm._FilterDatabase" localSheetId="0" hidden="1">Assessment!$A$1:$T$17</definedName>
    <definedName name="_xlnm._FilterDatabase" localSheetId="2" hidden="1">Heatmap!$A$1:$H$17</definedName>
    <definedName name="_xlnm._FilterDatabase" localSheetId="3" hidden="1">Roadmap!$A$1:$J$17</definedName>
  </definedName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3" l="1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5" i="2"/>
  <c r="C5" i="2"/>
  <c r="B5" i="2"/>
  <c r="E5" i="2" s="1"/>
  <c r="F5" i="2" s="1"/>
  <c r="G5" i="2" s="1"/>
  <c r="D4" i="2"/>
  <c r="C4" i="2"/>
  <c r="B4" i="2"/>
  <c r="D3" i="2"/>
  <c r="C3" i="2"/>
  <c r="B3" i="2"/>
  <c r="D2" i="2"/>
  <c r="C2" i="2"/>
  <c r="B2" i="2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E4" i="2" l="1"/>
  <c r="F4" i="2" s="1"/>
  <c r="G4" i="2" s="1"/>
  <c r="C6" i="2"/>
  <c r="D6" i="2"/>
  <c r="E3" i="2"/>
  <c r="F3" i="2" s="1"/>
  <c r="G3" i="2" s="1"/>
  <c r="F2" i="3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F14" i="3"/>
  <c r="O14" i="1"/>
  <c r="N14" i="1"/>
  <c r="F15" i="3"/>
  <c r="O15" i="1"/>
  <c r="N15" i="1"/>
  <c r="F16" i="3"/>
  <c r="O16" i="1"/>
  <c r="N16" i="1"/>
  <c r="F17" i="3"/>
  <c r="O17" i="1"/>
  <c r="N17" i="1"/>
  <c r="B6" i="2"/>
  <c r="E2" i="2"/>
  <c r="E6" i="2" l="1"/>
  <c r="F6" i="2" s="1"/>
  <c r="G6" i="2" s="1"/>
  <c r="F2" i="2"/>
  <c r="G2" i="2" s="1"/>
  <c r="C17" i="4"/>
  <c r="G17" i="4" s="1"/>
  <c r="G17" i="3"/>
  <c r="P17" i="1"/>
  <c r="C16" i="4"/>
  <c r="G16" i="4" s="1"/>
  <c r="G16" i="3"/>
  <c r="P16" i="1"/>
  <c r="C15" i="4"/>
  <c r="G15" i="4" s="1"/>
  <c r="G15" i="3"/>
  <c r="P15" i="1"/>
  <c r="C14" i="4"/>
  <c r="G14" i="4" s="1"/>
  <c r="G14" i="3"/>
  <c r="P14" i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  <c r="D14" i="4"/>
  <c r="H14" i="3"/>
  <c r="D15" i="4"/>
  <c r="H15" i="3"/>
  <c r="D16" i="4"/>
  <c r="H16" i="3"/>
  <c r="D17" i="4"/>
  <c r="H17" i="3"/>
</calcChain>
</file>

<file path=xl/sharedStrings.xml><?xml version="1.0" encoding="utf-8"?>
<sst xmlns="http://schemas.openxmlformats.org/spreadsheetml/2006/main" count="493" uniqueCount="255">
  <si>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</si>
  <si>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</si>
  <si>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</si>
  <si>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</si>
  <si>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</si>
  <si>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</si>
  <si>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</si>
  <si>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</si>
  <si>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</si>
  <si>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</si>
  <si>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</si>
  <si>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</si>
  <si>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</si>
  <si>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</si>
  <si>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</si>
  <si>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</si>
  <si>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</si>
  <si>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</si>
  <si>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</si>
  <si>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</si>
  <si>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Contabilidad y provisión fiscal</t>
  </si>
  <si>
    <t>1.1 Gobierno del tax accounting y calendario de provisión fiscal</t>
  </si>
  <si>
    <t>Evaluar si existe un proceso formal, gobernado y calendarizado para calcular, revisar, aprobar y reportar la provisión fiscal.</t>
  </si>
  <si>
    <t>Proceso de provisión fiscal manual o ad hoc, con calendario poco formalizado, elevada dependencia de personas clave y documentación limitada.</t>
  </si>
  <si>
    <t>Calendario y responsables básicos definidos, aunque con variabilidad entre sociedades, revisiones manuales y dependencias relevantes de Excel.</t>
  </si>
  <si>
    <t>Proceso documentado con calendario, roles, entregables, controles, aprobaciones y criterios contables/fiscales comunes.</t>
  </si>
  <si>
    <t>Proceso integrado con cierre, reporting, consolidación y fiscalidad local, con controles automatizados, trazabilidad y mejora continua.</t>
  </si>
  <si>
    <t>Tax accounting continuo y AI-enabled, con generación asistida de provisiones, validaciones inteligentes, alertas de desviación y explicación automática de variaciones.</t>
  </si>
  <si>
    <t>Accurate tax report generation; Automated financial statement preparation; Generate account variance analysis and intelligent explanations</t>
  </si>
  <si>
    <t>¿Existe calendario formal de provisión fiscal?
¿Están definidos roles y aprobaciones?
¿Se conecta con cierre y reporting?
¿Se documentan ajustes y supuestos?</t>
  </si>
  <si>
    <t>Calendario de cierre fiscal; RACI; workpapers de provisión; aprobaciones; conciliaciones; políticas contables/fiscales; evidencias de revisión.</t>
  </si>
  <si>
    <t>Diseñar modelo de gobierno de tax accounting con calendario, RACI, controles, aprobaciones, trazabilidad de supuestos y conexión con cierre/reporting.</t>
  </si>
  <si>
    <t>1.2 Cálculo de impuesto corriente, diferido y ETR</t>
  </si>
  <si>
    <t>Evaluar la robustez, trazabilidad y consistencia del cálculo de impuesto corriente, diferido y tasa efectiva.</t>
  </si>
  <si>
    <t>Cálculos manuales y no homogéneos, con trazabilidad limitada entre resultado contable, ajustes fiscales, diferidos y ETR.</t>
  </si>
  <si>
    <t>Plantillas recurrentes para sociedades relevantes, aunque con revisión manual, criterios parciales y consolidación compleja.</t>
  </si>
  <si>
    <t>Modelo estándar de cálculo con vínculo entre resultado contable, ajustes permanentes/temporales, impuesto corriente, diferido y ETR.</t>
  </si>
  <si>
    <t>Cálculo integrado con ERP/consolidación, reglas fiscales, validaciones, análisis de variaciones y reconciliación corriente/diferido.</t>
  </si>
  <si>
    <t>Motor inteligente de cálculo fiscal con detección de inconsistencias, explicación de drivers de ETR y recomendaciones de revisión de diferidos o posiciones fiscales.</t>
  </si>
  <si>
    <t>Accurate tax report generation; Identify inconsistencies in master data records; Generate account variance analysis and intelligent explanations</t>
  </si>
  <si>
    <t>¿El cálculo de impuesto corriente/diferido es trazable?
¿Se explican variaciones de ETR?
¿Se validan diferencias permanentes y temporales?
¿Hay reconciliación entre tax accounting y reporting?</t>
  </si>
  <si>
    <t>Modelo de provisión; conciliación contable-fiscal; cálculo ETR; detalle de diferidos; ajustes permanentes/temporales; evidencias de revisión.</t>
  </si>
  <si>
    <t>Estandarizar cálculo de impuesto corriente, diferido y ETR con reglas, conciliaciones, validaciones automáticas y análisis de drivers.</t>
  </si>
  <si>
    <t>1.3 Calidad, integración y trazabilidad del dato fiscal-contable</t>
  </si>
  <si>
    <t>Evaluar si los datos utilizados para tax accounting son completos, fiables, trazables e integrados con fuentes financieras oficiales.</t>
  </si>
  <si>
    <t>Datos extraídos manualmente desde múltiples fuentes, con reconciliaciones frecuentes y baja trazabilidad de ajustes.</t>
  </si>
  <si>
    <t>Fuentes principales identificadas, aunque con integraciones parciales, controles manuales y calidad variable entre entidades.</t>
  </si>
  <si>
    <t>Modelo de datos fiscal-contable definido, con fuentes oficiales, reglas de calidad, conciliaciones y owners por dato clave.</t>
  </si>
  <si>
    <t>Capa integrada de datos fiscal-contables con controles automáticos, reconciliaciones recurrentes, gestión de incidencias y trazabilidad end-to-end.</t>
  </si>
  <si>
    <t>AI detecta inconsistencias, clasificaciones anómalas y gaps de dato, genera metadata fiscal y recomienda acciones de remediación.</t>
  </si>
  <si>
    <t>Automate financial data across diverse sources; Identify inconsistencies in master data records; Generate metadata documentation</t>
  </si>
  <si>
    <t>¿Existen fuentes oficiales para datos fiscales?
¿Se realizan controles de calidad?
¿Los ajustes son trazables?
¿Hay owners de datos clave?</t>
  </si>
  <si>
    <t>Modelo de datos fiscal; fuentes oficiales; reglas de calidad; reconciliaciones; incidencias de dato; documentación de ajustes; metadata.</t>
  </si>
  <si>
    <t>Implantar capa de datos fiscal-contables con fuentes oficiales, reglas de calidad, reconciliaciones, owners y workflow de remediación.</t>
  </si>
  <si>
    <t>1.4 Reporting fiscal financiero y explicación ejecutiva</t>
  </si>
  <si>
    <t>Evaluar si la información de tax accounting se comunica de forma oportuna, clara y orientada a decisión para dirección, auditoría y reporting externo.</t>
  </si>
  <si>
    <t>Reporting fiscal financiero tardío, manual y con foco en cumplimiento, con explicación limitada de variaciones o riesgos.</t>
  </si>
  <si>
    <t>Reportes recurrentes para cierres relevantes, aunque con narrativa variable y dependencia de análisis manual.</t>
  </si>
  <si>
    <t>Reporting tax accounting estándar con KPIs, ETR, cash tax, diferidos, riesgos, variaciones y comentarios ejecutivos.</t>
  </si>
  <si>
    <t>Reporting integrado con cierre, forecast, auditoría, riesgos fiscales, acciones y revisión ejecutiva periódica.</t>
  </si>
  <si>
    <t>Reporting fiscal AI-enabled con generación automática de narrative commentary, explicación de variaciones, alertas y recomendaciones de gestión.</t>
  </si>
  <si>
    <t>Accurate tax report generation; Consolidate written financial reports into one compliant report; Generate account variance analysis and intelligent explanations</t>
  </si>
  <si>
    <t>¿Se reporta ETR/cash tax/diferidos de forma ejecutiva?
¿Se explican variaciones y riesgos?
¿Se conecta con auditoría y reporting externo?
¿Se generan acciones?</t>
  </si>
  <si>
    <t>Tax reporting pack; análisis ETR; cash tax; comentarios ejecutivos; actas de revisión; auditoría; acciones de seguimiento.</t>
  </si>
  <si>
    <t>Crear reporting fiscal financiero con KPIs, narrativa ejecutiva, análisis de variaciones, riesgos, acciones y conexión con reporting externo.</t>
  </si>
  <si>
    <t>Cumplimiento tributario directo</t>
  </si>
  <si>
    <t>2.1 Gobierno, calendario y obligaciones de impuestos directos</t>
  </si>
  <si>
    <t>Evaluar si existe un marco formal para gestionar obligaciones de impuestos directos, vencimientos, responsables, aprobaciones y evidencias.</t>
  </si>
  <si>
    <t>Obligaciones de impuestos directos gestionadas de forma reactiva y manual, con calendario incompleto y alta dependencia de conocimiento individual.</t>
  </si>
  <si>
    <t>Calendario fiscal básico y responsables identificados, aunque con seguimiento manual y controles parciales de vencimientos.</t>
  </si>
  <si>
    <t>Modelo de cumplimiento directo documentado con calendario, owners, entregables, aprobaciones, controles y repositorio de evidencias.</t>
  </si>
  <si>
    <t>Cumplimiento integrado con datos financieros, workflow, gestión documental, alertas y reporting de estatus/riesgos.</t>
  </si>
  <si>
    <t>Compliance directo AI-enabled con monitorización de vencimientos, revisión asistida de obligaciones, alertas regulatorias y generación de borradores.</t>
  </si>
  <si>
    <t>Automate tax filing processes, analyze financial data, and generate accurate tax reports; Automated regulatory compliance; Global policy tracking</t>
  </si>
  <si>
    <t>¿Existe calendario fiscal de impuestos directos?
¿Hay owners y aprobaciones definidos?
¿Se controlan vencimientos y evidencias?
¿Se monitorizan cambios regulatorios?</t>
  </si>
  <si>
    <t>Calendario fiscal; matriz de obligaciones; declaraciones; workflow de aprobación; evidencias; repositorio documental; alertas regulatorias.</t>
  </si>
  <si>
    <t>Implantar gobierno de cumplimiento directo con calendario, matriz de obligaciones, workflow, repositorio de evidencias y alertas regulatorias.</t>
  </si>
  <si>
    <t>2.2 Preparación, revisión y presentación de declaraciones directas</t>
  </si>
  <si>
    <t>Evaluar el grado de estandarización, control, automatización y trazabilidad en la preparación y presentación de declaraciones de impuestos directos.</t>
  </si>
  <si>
    <t>Declaraciones preparadas manualmente, con alta dependencia de hojas de cálculo, ajustes manuales y revisiones no homogéneas.</t>
  </si>
  <si>
    <t>Plantillas y revisiones básicas para principales declaraciones, aunque con extracción manual de datos y validaciones limitadas.</t>
  </si>
  <si>
    <t>Proceso estándar de preparación, revisión y presentación con plantillas, controles, fuentes definidas y aprobaciones formales.</t>
  </si>
  <si>
    <t>Preparación integrada con datos financieros oficiales, validaciones automáticas, workflow de revisión y trazabilidad de ajustes.</t>
  </si>
  <si>
    <t>Generación asistida de declaraciones con AI/NLP, validaciones inteligentes, detección de inconsistencias y preparación de documentación soporte.</t>
  </si>
  <si>
    <t>Automate tax filing processes, analyze financial data, and generate accurate tax reports; Accurate tax report generation; Financial rules and regulations interpretations</t>
  </si>
  <si>
    <t>¿Las declaraciones se preparan con proceso estándar?
¿Los datos vienen de fuentes oficiales?
¿Existen controles y aprobaciones?
¿Se trazan ajustes y soportes?</t>
  </si>
  <si>
    <t>Declaraciones directas; plantillas; fuentes de datos; logs de revisión; aprobaciones; documentación soporte; justificantes de presentación.</t>
  </si>
  <si>
    <t>Estandarizar preparación y revisión de declaraciones directas con fuentes oficiales, validaciones, workflow y trazabilidad de ajustes.</t>
  </si>
  <si>
    <t>2.3 Controversias, requerimientos y relación con autoridades fiscales</t>
  </si>
  <si>
    <t>Evaluar la capacidad para gestionar requerimientos, inspecciones, controversias y comunicaciones con autoridades fiscales de forma controlada y trazable.</t>
  </si>
  <si>
    <t>Gestión reactiva de requerimientos, con documentación dispersa, coordinación informal y seguimiento limitado de riesgos.</t>
  </si>
  <si>
    <t>Registro básico de requerimientos y controversias, aunque con seguimiento manual, evidencias variables y baja visión agregada.</t>
  </si>
  <si>
    <t>Proceso definido para gestionar requerimientos, respuestas, evidencias, responsables, plazos, riesgos y aprobaciones.</t>
  </si>
  <si>
    <t>Gestión integrada de controversias con workflow, repositorio documental, scoring de riesgo, reporting de exposición y aprendizaje recurrente.</t>
  </si>
  <si>
    <t>AI sintetiza requerimientos, localiza evidencias, propone borradores de respuesta, identifica riesgos y prioriza controversias por exposición.</t>
  </si>
  <si>
    <t>AI-powered archive access and extraction; Financial rules and regulations interpretations; Research-based report generation / KYC</t>
  </si>
  <si>
    <t>¿Existe tracker de requerimientos y controversias?
¿Se gestionan plazos y evidencias?
¿Se cuantifica exposición?
¿Se reutilizan aprendizajes?</t>
  </si>
  <si>
    <t>Tracker de controversias; requerimientos; respuestas; evidencias; actas con asesores; estimación de exposición; documentación de cierre.</t>
  </si>
  <si>
    <t>Crear modelo de gestión de controversias fiscales con workflow, repositorio de evidencias, scoring de riesgo, reporting y lessons learned.</t>
  </si>
  <si>
    <t>2.4 Control, trazabilidad y mejora continua del cumplimiento directo</t>
  </si>
  <si>
    <t>Evaluar si el cumplimiento de impuestos directos se mide, controla y mejora mediante KPIs, controles, incidencias y acciones preventivas.</t>
  </si>
  <si>
    <t>Controles de cumplimiento limitados y ex post, con baja medición de errores, retrasos o causas recurrentes.</t>
  </si>
  <si>
    <t>Controles básicos de revisión y seguimiento de incidencias, aunque con análisis limitado de causas y mejora.</t>
  </si>
  <si>
    <t>Matriz de controles definida con KPIs, incidencias, owners, evidencias y seguimiento periódico de cumplimiento.</t>
  </si>
  <si>
    <t>Modelo de mejora continua con análisis causa-raíz, controles preventivos, automatización progresiva y reporting de calidad del cumplimiento.</t>
  </si>
  <si>
    <t>AI detecta patrones de error, anticipa riesgos de incumplimiento, recomienda controles preventivos y prioriza acciones de mejora.</t>
  </si>
  <si>
    <t>Predictive compliance monitoring; Automated regulatory compliance; Proactive defect resolution recommendations</t>
  </si>
  <si>
    <t>¿Se miden errores y retrasos?
¿Existe matriz de controles fiscales?
¿Se analizan causas recurrentes?
¿Se implementan acciones preventivas?</t>
  </si>
  <si>
    <t>Matriz de controles; KPIs de cumplimiento; incidencias; análisis causa-raíz; evidencias; planes de mejora; reporting de calidad.</t>
  </si>
  <si>
    <t>Implantar modelo de control y mejora continua del cumplimiento directo con KPIs, controles, causa-raíz, automatización y acciones preventivas.</t>
  </si>
  <si>
    <t>Cumplimiento de impuestos indirectos</t>
  </si>
  <si>
    <t>3.1 Gobierno de IVA/impuestos indirectos y modelo operativo</t>
  </si>
  <si>
    <t>Evaluar si existe un modelo operativo y de gobierno para gestionar IVA, impuestos indirectos, responsabilidades, controles y coordinación con negocio.</t>
  </si>
  <si>
    <t>Gestión de impuestos indirectos descentralizada, manual y con criterios variables entre sociedades, países o unidades.</t>
  </si>
  <si>
    <t>Modelo básico de responsabilidades y calendario, aunque con coordinación parcial con ventas, compras, sistemas y operaciones.</t>
  </si>
  <si>
    <t>Gobierno documentado de impuestos indirectos con roles, calendario, reglas, controles, procesos y responsables por jurisdicción.</t>
  </si>
  <si>
    <t>Modelo integrado con procesos comerciales, compras, ERP, facturación, maestros fiscales, controles automáticos y reporting de incidencias.</t>
  </si>
  <si>
    <t>Modelo indirect tax AI-enabled con monitorización continua de transacciones, detección de errores, alertas regulatorias y recomendaciones de tratamiento fiscal.</t>
  </si>
  <si>
    <t>Automated regulatory compliance; Financial rules and regulations interpretations; Identify inconsistencies in master data records</t>
  </si>
  <si>
    <t>¿Existe modelo operativo de impuestos indirectos?
¿Está conectado con ventas, compras y sistemas?
¿Hay owners por jurisdicción?
¿Se controlan reglas de IVA/impuestos indirectos?</t>
  </si>
  <si>
    <t>Modelo operativo; calendario IVA; RACI; reglas fiscales; matriz de jurisdicciones; controles; incidencias; documentación de procesos.</t>
  </si>
  <si>
    <t>Definir modelo operativo de impuestos indirectos con roles, calendario, reglas fiscales, controles, integración con procesos y reporting de incidencias.</t>
  </si>
  <si>
    <t>3.2 Determinación fiscal en transacciones y facturación</t>
  </si>
  <si>
    <t>Evaluar si el tratamiento de impuestos indirectos en ventas, compras, facturación y operaciones se determina de forma correcta, automatizada y trazable.</t>
  </si>
  <si>
    <t>Determinación fiscal manual o con reglas incompletas, generando errores frecuentes en facturas, códigos fiscales o tratamientos.</t>
  </si>
  <si>
    <t>Reglas básicas en sistemas para operaciones principales, aunque con excepciones manuales y revisiones posteriores relevantes.</t>
  </si>
  <si>
    <t>Modelo de determinación fiscal documentado con códigos, reglas, atributos maestros, validaciones y controles recurrentes.</t>
  </si>
  <si>
    <t>Determinación integrada en ERP/facturación con controles preventivos, validación de maestros, excepciones y trazabilidad transaccional.</t>
  </si>
  <si>
    <t>AI detecta tratamientos anómalos, incoherencias en maestros/códigos fiscales, errores de factura y recomienda correcciones antes de presentación.</t>
  </si>
  <si>
    <t>Automated invoice error detection &amp; correction; Identify inconsistencies in master data records; Financial rules and regulations interpretations</t>
  </si>
  <si>
    <t>¿Las reglas fiscales están configuradas en sistemas?
¿Se validan códigos y maestros fiscales?
¿Se detectan errores antes de facturar/declarar?
¿Existe trazabilidad transaccional?</t>
  </si>
  <si>
    <t>Reglas ERP; códigos fiscales; facturas; maestros de cliente/proveedor/material; excepciones; notas de crédito; controles preventivos.</t>
  </si>
  <si>
    <t>Implantar controles de determinación fiscal en ERP/facturación con revisión de maestros, reglas, excepciones y alertas de tratamiento anómalo.</t>
  </si>
  <si>
    <t>3.3 Preparación, conciliación y presentación de declaraciones indirectas</t>
  </si>
  <si>
    <t>Evaluar el proceso de preparación, conciliación, revisión y presentación de declaraciones de IVA/impuestos indirectos.</t>
  </si>
  <si>
    <t>Declaraciones indirectas preparadas manualmente, con conciliaciones complejas, ajustes frecuentes y baja trazabilidad de datos.</t>
  </si>
  <si>
    <t>Plantillas recurrentes y conciliaciones básicas, aunque con extracción manual y controles limitados sobre errores transaccionales.</t>
  </si>
  <si>
    <t>Proceso estándar con fuentes definidas, conciliaciones, controles, aprobaciones, evidencias y presentación recurrente documentada.</t>
  </si>
  <si>
    <t>Preparación integrada con datos transaccionales, validaciones automáticas, conciliación contable-fiscal y workflow de revisión/aprobación.</t>
  </si>
  <si>
    <t>Generación asistida de declaraciones indirectas con AI, detección de transacciones anómalas, reconciliación inteligente y explicación de variaciones.</t>
  </si>
  <si>
    <t>Automate tax filing processes, analyze financial data, and generate accurate tax reports; Accurate tax report generation; Reconcile account balances at transaction level</t>
  </si>
  <si>
    <t>¿Se concilian bases fiscales con contabilidad?
¿Las declaraciones proceden de fuentes oficiales?
¿Existen controles de revisión?
¿Se explican variaciones por periodo?</t>
  </si>
  <si>
    <t>Declaraciones IVA; conciliaciones; libros registro; fuentes de datos; aprobaciones; ajustes; justificantes de presentación; reportes de errores.</t>
  </si>
  <si>
    <t>Estandarizar preparación de declaraciones indirectas con conciliación contable-fiscal, validaciones automáticas, workflow y análisis de variaciones.</t>
  </si>
  <si>
    <t>3.4 Monitorización de riesgos, cambios regulatorios y controles indirectos</t>
  </si>
  <si>
    <t>Evaluar si la organización monitoriza riesgos, cambios normativos, errores recurrentes y controles clave de impuestos indirectos.</t>
  </si>
  <si>
    <t>Monitorización reactiva de riesgos y cambios regulatorios, con baja trazabilidad de impactos en procesos, sistemas o declaraciones.</t>
  </si>
  <si>
    <t>Seguimiento básico de cambios relevantes, aunque con análisis manual de impacto y remediación parcial.</t>
  </si>
  <si>
    <t>Proceso definido para monitorizar cambios, evaluar impacto, actualizar reglas/procesos y revisar controles indirectos.</t>
  </si>
  <si>
    <t>Gestión integrada de riesgos indirectos con KRIs, controles automatizados, change management, testing periódico y reporting a comités.</t>
  </si>
  <si>
    <t>AI monitoriza cambios regulatorios, identifica transacciones de riesgo, recomienda actualizaciones de reglas y prioriza controles por exposición.</t>
  </si>
  <si>
    <t>Monitor emerging regulations and evaluate current state compliance; Global policy tracking; Predictive compliance monitoring</t>
  </si>
  <si>
    <t>¿Se monitorizan cambios de IVA/impuestos indirectos?
¿Se evalúa impacto en sistemas y procesos?
¿Hay KRIs y controles?
¿Se priorizan riesgos por exposición?</t>
  </si>
  <si>
    <t>Alertas regulatorias; análisis de impacto; cambios de configuración; matriz de controles; KRIs; incidencias; actas de seguimiento.</t>
  </si>
  <si>
    <t>Crear modelo de monitorización de riesgos indirectos con regulatory tracking, análisis de impacto, KRIs, controles y actualización de reglas.</t>
  </si>
  <si>
    <t>Asesoría fiscal</t>
  </si>
  <si>
    <t>4.1 Modelo de tax advisory y demanda de negocio</t>
  </si>
  <si>
    <t>Evaluar si la función fiscal proporciona asesoramiento estructurado, oportuno y alineado con necesidades de negocio, estrategia y gestión de riesgos.</t>
  </si>
  <si>
    <t>Asesoría fiscal reactiva, caso a caso, con baja priorización, documentación variable y dependencia de expertos individuales.</t>
  </si>
  <si>
    <t>Canales básicos de consulta y soporte para temas relevantes, aunque con criterios de priorización y trazabilidad parciales.</t>
  </si>
  <si>
    <t>Modelo de advisory definido con demanda, intake, priorización, roles, entregables, criterios de riesgo y documentación de consultas.</t>
  </si>
  <si>
    <t>Advisory integrado con negocio, operaciones, legal, finanzas y estrategia, con seguimiento de impacto, riesgos y decisiones.</t>
  </si>
  <si>
    <t>Tax advisory AI-enabled con asistente de consultas, búsqueda normativa, recomendaciones preliminares y priorización de asuntos por riesgo/valor.</t>
  </si>
  <si>
    <t>Evaluate tax laws and regulations and provide recommendations for tax planning, compliance, and risk management; Financial rules and regulations interpretations; Enterprise-wide data search and access</t>
  </si>
  <si>
    <t>¿Existe proceso de intake y priorización de consultas?
¿Se documentan criterios y recomendaciones?
¿Se conecta con negocio y estrategia?
¿Se mide impacto del advisory?</t>
  </si>
  <si>
    <t>Registro de consultas; tax memos; criterios de priorización; aprobaciones; actas con negocio; seguimiento de decisiones; feedback.</t>
  </si>
  <si>
    <t>Definir modelo de tax advisory con intake, priorización por riesgo/valor, documentación estándar, approval workflow y seguimiento de impacto.</t>
  </si>
  <si>
    <t>4.2 Planificación fiscal, escenarios y optimización dentro del marco normativo</t>
  </si>
  <si>
    <t>Evaluar si la función fiscal anticipa impactos, construye escenarios y asesora en planificación fiscal sostenible y alineada con el apetito de riesgo.</t>
  </si>
  <si>
    <t>Planificación fiscal puntual y reactiva, con análisis manual y baja conexión con estrategia, forecast o estructura operativa.</t>
  </si>
  <si>
    <t>Análisis de planificación para operaciones relevantes, aunque con escenarios limitados y documentación no siempre homogénea.</t>
  </si>
  <si>
    <t>Metodología de planificación fiscal con escenarios, supuestos, riesgos, sensibilidad, impacto financiero y approvals.</t>
  </si>
  <si>
    <t>Planificación integrada con estrategia, cash tax, estructura legal/operativa, transfer pricing, forecast y gobierno de riesgo fiscal.</t>
  </si>
  <si>
    <t>Planificación predictiva AI-enabled que simula escenarios, impactos regulatorios, cash tax, riesgos y recomendaciones de optimización responsable.</t>
  </si>
  <si>
    <t>Predictive tax planning, compliance, and risk management; Evaluate tax laws and regulations and provide recommendations; Generate investing strategies</t>
  </si>
  <si>
    <t>¿Se realizan escenarios de planificación fiscal?
¿Se cuantifica impacto financiero y cash tax?
¿Se documentan riesgos y supuestos?
¿Se valida con governance fiscal?</t>
  </si>
  <si>
    <t>Tax planning memos; escenarios; cálculos de cash tax; análisis de sensibilidad; approvals; políticas de riesgo fiscal; business cases.</t>
  </si>
  <si>
    <t>Crear framework de planificación fiscal con escenarios, cash tax, sensibilidad, riesgos, aprobaciones y conexión con forecast/estrategia.</t>
  </si>
  <si>
    <t>4.3 Gestión de riesgos fiscales y posiciones inciertas</t>
  </si>
  <si>
    <t>Evaluar si los riesgos fiscales, posiciones inciertas y exposiciones se identifican, valoran, monitorizan y reportan de forma estructurada.</t>
  </si>
  <si>
    <t>Riesgos fiscales identificados de forma reactiva, con inventario incompleto y baja cuantificación de exposición.</t>
  </si>
  <si>
    <t>Registro básico de riesgos relevantes, aunque con valoración manual, seguimiento irregular y conexión limitada con reporting.</t>
  </si>
  <si>
    <t>Modelo de gestión de riesgos fiscales con inventario, clasificación, probabilidad, impacto, owners, mitigantes y reporting.</t>
  </si>
  <si>
    <t>Riesgo fiscal integrado con ERM, provisión, controversias, cambios normativos, governance y seguimiento periódico de exposición.</t>
  </si>
  <si>
    <t>AI detecta señales de riesgo fiscal, prioriza posiciones inciertas, simula exposición y recomienda mitigantes/documentación soporte.</t>
  </si>
  <si>
    <t>Predictive tax planning, compliance, and risk management; AI-powered risk management and regulatory compliance; Predictive compliance monitoring</t>
  </si>
  <si>
    <t>¿Existe inventario de riesgos fiscales?
¿Se cuantifica probabilidad e impacto?
¿Se conectan riesgos con provisión/controversias?
¿Se reportan a governance?</t>
  </si>
  <si>
    <t>Tax risk register; posiciones inciertas; cuantificación de exposición; mitigantes; actas de comité; provisiones; controversias.</t>
  </si>
  <si>
    <t>Implantar tax risk register con clasificación, probabilidad/impacto, owners, mitigantes, conexión con provisión y reporting a governance.</t>
  </si>
  <si>
    <t>4.4 Gestión de conocimiento fiscal, normativa y soporte a decisiones</t>
  </si>
  <si>
    <t>Evaluar si la función fiscal gestiona conocimiento, normativa, criterios técnicos y documentación para apoyar decisiones consistentes.</t>
  </si>
  <si>
    <t>Conocimiento fiscal disperso en personas o documentos no estructurados, con baja reutilización de criterios y precedentes.</t>
  </si>
  <si>
    <t>Repositorios o archivos básicos de documentos, aunque con búsqueda limitada y actualización manual de normativa/criterios.</t>
  </si>
  <si>
    <t>Repositorio estructurado de normativa, consultas, criterios, tax memos, posiciones, templates y lessons learned.</t>
  </si>
  <si>
    <t>Gestión de conocimiento integrada con workflow de consultas, actualización normativa, control de versiones, formación y reutilización de criterios.</t>
  </si>
  <si>
    <t>Tax knowledge assistant AI-enabled que busca normativa, resume cambios, recupera precedentes y propone borradores de análisis o respuestas.</t>
  </si>
  <si>
    <t>Financial rules and regulations interpretations; AI-powered archive access and extraction; Global policy tracking</t>
  </si>
  <si>
    <t>¿Existe repositorio fiscal estructurado?
¿Se actualizan cambios normativos?
¿Se reutilizan criterios y precedentes?
¿Se controla versión y aprobación?</t>
  </si>
  <si>
    <t>Repositorio fiscal; tax memos; criterios técnicos; alertas normativas; plantillas; control de versiones; materiales de formación.</t>
  </si>
  <si>
    <t>Crear tax knowledge hub con normativa, criterios, precedentes, templates, alertas de cambios y asistente de búsqueda/resumen.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</si>
  <si>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</si>
  <si>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</si>
  <si>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</si>
  <si>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</si>
  <si>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</si>
  <si>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</si>
  <si>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</si>
  <si>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</si>
  <si>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</si>
  <si>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</si>
  <si>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</si>
  <si>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</si>
  <si>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</si>
  <si>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</si>
  <si>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</si>
  <si>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</si>
  <si>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</si>
  <si>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</si>
  <si>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</si>
  <si>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</si>
  <si>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</si>
  <si>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</si>
  <si>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</si>
  <si>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</si>
  <si>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</si>
  <si>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</si>
  <si>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</si>
  <si>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</si>
  <si>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</si>
  <si>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</si>
  <si>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</si>
  <si>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</si>
  <si>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</si>
  <si>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</si>
  <si>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control fiscal, asesoramiento, colaboración con negocio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</si>
  <si>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</si>
  <si>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</si>
  <si>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</si>
  <si>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</si>
  <si>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</si>
  <si>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</si>
  <si>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</si>
  <si>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</si>
  <si>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</si>
  <si>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Fiscal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</si>
  <si>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</si>
  <si>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</si>
  <si>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</si>
  <si>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Fiscal: Contabilidad y provisión fiscal, Cumplimiento tributario directo, Cumplimiento de impuestos indirectos y Asesoría fiscal.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</si>
  <si>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</si>
  <si>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eficiencia/control.
5 - Avanzado/Referente: modelo maduro, preventivo, predictivo, AI-enabled y orientado a generación de valor.</t>
  </si>
  <si>
    <t>AI Overlay</t>
  </si>
  <si>
    <t>Los casos de uso AI se han mapeado desde F3M_AI_Mapping_Consolidado_v1.xlsx. Para capacidades con cobertura limitada se han utilizado casos por analogía funcional, especialmente en impuestos indirectos y gestión de conocimiento fiscal.</t>
  </si>
  <si>
    <t>Buenas prácticas</t>
  </si>
  <si>
    <t>Evaluar situación actual, sustentar el score con evidencias, separar las tres palancas, validar resultados con responsables del dominio y preservar la conexión entre cumplimiento, riesgo, asesoramiento y valor.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</si>
</sst>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Resumen!$A$2:$A$5</c:f>
              <c:strCache>
                <c:ptCount val="4"/>
                <c:pt idx="0">
                  <c:v>Contabilidad y provisión fiscal</c:v>
                </c:pt>
                <c:pt idx="1">
                  <c:v>Cumplimiento tributario directo</c:v>
                </c:pt>
                <c:pt idx="2">
                  <c:v>Cumplimiento de impuestos indirectos</c:v>
                </c:pt>
                <c:pt idx="3">
                  <c:v>Asesoría fiscal</c:v>
                </c:pt>
              </c:strCache>
            </c:strRef>
          </c:cat>
          <c:val>
            <c:numRef>
              <c:f>Resumen!$E$2:$E$5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81-4F05-BAF7-70C502C91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7"/>
  <sheetViews>
    <sheetView tabSelected="1" workbookViewId="0">
      <pane ySplit="1" topLeftCell="A7" activePane="bottomLeft" state="frozen"/>
      <selection pane="bottomLeft" activeCell="B10" sqref="B10"/>
    </sheetView>
  </sheetViews>
  <sheetFormatPr defaultRowHeight="14.4" x14ac:dyDescent="0.3"/>
  <cols>
    <col min="1" max="1" width="32" customWidth="1"/>
    <col min="2" max="2" width="48" customWidth="1"/>
    <col min="3" max="7" width="56" customWidth="1"/>
    <col min="8" max="8" width="60" customWidth="1"/>
    <col min="9" max="9" width="55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5" customWidth="1"/>
    <col min="18" max="18" width="48" customWidth="1"/>
    <col min="19" max="19" width="60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17" si="0">IF(COUNT(J2:L2)=0,"",ROUND(AVERAGE(J2:L2),0))</f>
        <v/>
      </c>
      <c r="N2" s="2" t="str">
        <f t="shared" ref="N2:N17" si="1">IF(M2="","",CHOOSE(M2,"1 - Inicial","2 - Estructurado","3 - Estandarizado","4 - Optimizado","5 - Avanzado/Referente"))</f>
        <v/>
      </c>
      <c r="O2" s="2" t="str">
        <f t="shared" ref="O2:O17" si="2">IF(M2="","",MAX(0,4-M2))</f>
        <v/>
      </c>
      <c r="P2" s="2" t="str">
        <f t="shared" ref="P2:P17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39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50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61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73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84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95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106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118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129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140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151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  <row r="14" spans="1:20" ht="84.9" customHeight="1" x14ac:dyDescent="0.3">
      <c r="A14" s="2" t="s">
        <v>155</v>
      </c>
      <c r="B14" s="2" t="s">
        <v>156</v>
      </c>
      <c r="C14" s="2" t="s">
        <v>157</v>
      </c>
      <c r="D14" s="2" t="s">
        <v>158</v>
      </c>
      <c r="E14" s="2" t="s">
        <v>159</v>
      </c>
      <c r="F14" s="2" t="s">
        <v>160</v>
      </c>
      <c r="G14" s="2" t="s">
        <v>161</v>
      </c>
      <c r="H14" s="2" t="s">
        <v>162</v>
      </c>
      <c r="I14" s="2" t="s">
        <v>163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164</v>
      </c>
      <c r="R14" s="2" t="s">
        <v>165</v>
      </c>
      <c r="S14" s="2" t="s">
        <v>166</v>
      </c>
      <c r="T14" s="2"/>
    </row>
    <row r="15" spans="1:20" ht="84.9" customHeight="1" x14ac:dyDescent="0.3">
      <c r="A15" s="2" t="s">
        <v>155</v>
      </c>
      <c r="B15" s="2" t="s">
        <v>167</v>
      </c>
      <c r="C15" s="2" t="s">
        <v>168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173</v>
      </c>
      <c r="I15" s="2" t="s">
        <v>174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175</v>
      </c>
      <c r="R15" s="2" t="s">
        <v>176</v>
      </c>
      <c r="S15" s="2" t="s">
        <v>177</v>
      </c>
      <c r="T15" s="2"/>
    </row>
    <row r="16" spans="1:20" ht="84.9" customHeight="1" x14ac:dyDescent="0.3">
      <c r="A16" s="2" t="s">
        <v>155</v>
      </c>
      <c r="B16" s="2" t="s">
        <v>178</v>
      </c>
      <c r="C16" s="2" t="s">
        <v>179</v>
      </c>
      <c r="D16" s="2" t="s">
        <v>180</v>
      </c>
      <c r="E16" s="2" t="s">
        <v>181</v>
      </c>
      <c r="F16" s="2" t="s">
        <v>182</v>
      </c>
      <c r="G16" s="2" t="s">
        <v>183</v>
      </c>
      <c r="H16" s="2" t="s">
        <v>184</v>
      </c>
      <c r="I16" s="2" t="s">
        <v>185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186</v>
      </c>
      <c r="R16" s="2" t="s">
        <v>187</v>
      </c>
      <c r="S16" s="2" t="s">
        <v>188</v>
      </c>
      <c r="T16" s="2"/>
    </row>
    <row r="17" spans="1:20" ht="84.9" customHeight="1" x14ac:dyDescent="0.3">
      <c r="A17" s="2" t="s">
        <v>155</v>
      </c>
      <c r="B17" s="2" t="s">
        <v>189</v>
      </c>
      <c r="C17" s="2" t="s">
        <v>190</v>
      </c>
      <c r="D17" s="2" t="s">
        <v>191</v>
      </c>
      <c r="E17" s="2" t="s">
        <v>192</v>
      </c>
      <c r="F17" s="2" t="s">
        <v>193</v>
      </c>
      <c r="G17" s="2" t="s">
        <v>194</v>
      </c>
      <c r="H17" s="2" t="s">
        <v>195</v>
      </c>
      <c r="I17" s="2" t="s">
        <v>196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197</v>
      </c>
      <c r="R17" s="2" t="s">
        <v>198</v>
      </c>
      <c r="S17" s="2" t="s">
        <v>199</v>
      </c>
      <c r="T17" s="2"/>
    </row>
  </sheetData>
  <autoFilter ref="A1:T17" xr:uid="{00000000-0009-0000-0000-000000000000}"/>
  <conditionalFormatting sqref="J2:M17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7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7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6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155</v>
      </c>
      <c r="B5" s="4" t="str">
        <f>IFERROR(ROUND(AVERAGEIF(Assessment!$A:$A,A5,Assessment!$J:$J),0),"")</f>
        <v/>
      </c>
      <c r="C5" s="4" t="str">
        <f>IFERROR(ROUND(AVERAGEIF(Assessment!$A:$A,A5,Assessment!$K:$K),0),"")</f>
        <v/>
      </c>
      <c r="D5" s="4" t="str">
        <f>IFERROR(ROUND(AVERAGEIF(Assessment!$A:$A,A5,Assessment!$L:$L),0),"")</f>
        <v/>
      </c>
      <c r="E5" s="4" t="str">
        <f>IFERROR(ROUND(AVERAGE(B5:D5),0),"")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  <row r="6" spans="1:7" ht="30" customHeight="1" x14ac:dyDescent="0.3">
      <c r="A6" s="4" t="s">
        <v>200</v>
      </c>
      <c r="B6" s="4" t="str">
        <f>IFERROR(ROUND(AVERAGE(B2:B5),0),"")</f>
        <v/>
      </c>
      <c r="C6" s="4" t="str">
        <f>IFERROR(ROUND(AVERAGE(C2:C5),0),"")</f>
        <v/>
      </c>
      <c r="D6" s="4" t="str">
        <f>IFERROR(ROUND(AVERAGE(D2:D5),0),"")</f>
        <v/>
      </c>
      <c r="E6" s="4" t="str">
        <f>IFERROR(ROUND(AVERAGE(E2:E5),0),"")</f>
        <v/>
      </c>
      <c r="F6" s="4" t="str">
        <f>IF(E6="","",MAX(0,4-E6))</f>
        <v/>
      </c>
      <c r="G6" s="4" t="str">
        <f>IF(F6="","",IF(F6&gt;=3,"Alta",IF(F6=2,"Media",IF(F6=1,"Media","Baja"))))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201</v>
      </c>
      <c r="D1" s="1" t="s">
        <v>202</v>
      </c>
      <c r="E1" s="1" t="s">
        <v>203</v>
      </c>
      <c r="F1" s="1" t="s">
        <v>204</v>
      </c>
      <c r="G1" s="1" t="s">
        <v>205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  <row r="14" spans="1:8" ht="84.9" customHeight="1" x14ac:dyDescent="0.3">
      <c r="A14" s="2" t="s">
        <v>155</v>
      </c>
      <c r="B14" s="2" t="s">
        <v>156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</row>
    <row r="15" spans="1:8" ht="84.9" customHeight="1" x14ac:dyDescent="0.3">
      <c r="A15" s="2" t="s">
        <v>155</v>
      </c>
      <c r="B15" s="2" t="s">
        <v>167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</row>
    <row r="16" spans="1:8" ht="84.9" customHeight="1" x14ac:dyDescent="0.3">
      <c r="A16" s="2" t="s">
        <v>155</v>
      </c>
      <c r="B16" s="2" t="s">
        <v>178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</row>
    <row r="17" spans="1:8" ht="84.9" customHeight="1" x14ac:dyDescent="0.3">
      <c r="A17" s="2" t="s">
        <v>155</v>
      </c>
      <c r="B17" s="2" t="s">
        <v>189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</row>
  </sheetData>
  <autoFilter ref="A1:H17" xr:uid="{00000000-0009-0000-0000-000002000000}"/>
  <conditionalFormatting sqref="C2:F17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7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10" customWidth="1"/>
    <col min="4" max="4" width="14" customWidth="1"/>
    <col min="5" max="5" width="65" customWidth="1"/>
    <col min="6" max="6" width="58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205</v>
      </c>
      <c r="D1" s="1" t="s">
        <v>15</v>
      </c>
      <c r="E1" s="1" t="s">
        <v>18</v>
      </c>
      <c r="F1" s="1" t="s">
        <v>206</v>
      </c>
      <c r="G1" s="1" t="s">
        <v>207</v>
      </c>
      <c r="H1" s="1" t="s">
        <v>208</v>
      </c>
      <c r="I1" s="1" t="s">
        <v>209</v>
      </c>
      <c r="J1" s="1" t="s">
        <v>210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28</v>
      </c>
      <c r="G2" s="2" t="str">
        <f t="shared" ref="G2:G17" si="0">IF(C2="","",IF(C2&gt;=3,"Oleada 1",IF(C2=2,"Oleada 2",IF(C2=1,"Oleada 3",""))))</f>
        <v/>
      </c>
      <c r="H2" s="2"/>
      <c r="I2" s="2" t="s">
        <v>211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39</v>
      </c>
      <c r="G3" s="2" t="str">
        <f t="shared" si="0"/>
        <v/>
      </c>
      <c r="H3" s="2"/>
      <c r="I3" s="2" t="s">
        <v>211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50</v>
      </c>
      <c r="G4" s="2" t="str">
        <f t="shared" si="0"/>
        <v/>
      </c>
      <c r="H4" s="2"/>
      <c r="I4" s="2" t="s">
        <v>211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61</v>
      </c>
      <c r="G5" s="2" t="str">
        <f t="shared" si="0"/>
        <v/>
      </c>
      <c r="H5" s="2"/>
      <c r="I5" s="2" t="s">
        <v>211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73</v>
      </c>
      <c r="G6" s="2" t="str">
        <f t="shared" si="0"/>
        <v/>
      </c>
      <c r="H6" s="2"/>
      <c r="I6" s="2" t="s">
        <v>211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84</v>
      </c>
      <c r="G7" s="2" t="str">
        <f t="shared" si="0"/>
        <v/>
      </c>
      <c r="H7" s="2"/>
      <c r="I7" s="2" t="s">
        <v>211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95</v>
      </c>
      <c r="G8" s="2" t="str">
        <f t="shared" si="0"/>
        <v/>
      </c>
      <c r="H8" s="2"/>
      <c r="I8" s="2" t="s">
        <v>211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106</v>
      </c>
      <c r="G9" s="2" t="str">
        <f t="shared" si="0"/>
        <v/>
      </c>
      <c r="H9" s="2"/>
      <c r="I9" s="2" t="s">
        <v>211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118</v>
      </c>
      <c r="G10" s="2" t="str">
        <f t="shared" si="0"/>
        <v/>
      </c>
      <c r="H10" s="2"/>
      <c r="I10" s="2" t="s">
        <v>211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129</v>
      </c>
      <c r="G11" s="2" t="str">
        <f t="shared" si="0"/>
        <v/>
      </c>
      <c r="H11" s="2"/>
      <c r="I11" s="2" t="s">
        <v>211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140</v>
      </c>
      <c r="G12" s="2" t="str">
        <f t="shared" si="0"/>
        <v/>
      </c>
      <c r="H12" s="2"/>
      <c r="I12" s="2" t="s">
        <v>211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151</v>
      </c>
      <c r="G13" s="2" t="str">
        <f t="shared" si="0"/>
        <v/>
      </c>
      <c r="H13" s="2"/>
      <c r="I13" s="2" t="s">
        <v>211</v>
      </c>
      <c r="J13" s="2"/>
    </row>
    <row r="14" spans="1:10" ht="84.9" customHeight="1" x14ac:dyDescent="0.3">
      <c r="A14" s="2" t="s">
        <v>155</v>
      </c>
      <c r="B14" s="2" t="s">
        <v>156</v>
      </c>
      <c r="C14" s="2" t="str">
        <f>Assessment!O14</f>
        <v/>
      </c>
      <c r="D14" s="2" t="str">
        <f>Assessment!P14</f>
        <v/>
      </c>
      <c r="E14" s="2" t="s">
        <v>166</v>
      </c>
      <c r="F14" s="2" t="s">
        <v>163</v>
      </c>
      <c r="G14" s="2" t="str">
        <f t="shared" si="0"/>
        <v/>
      </c>
      <c r="H14" s="2"/>
      <c r="I14" s="2" t="s">
        <v>211</v>
      </c>
      <c r="J14" s="2"/>
    </row>
    <row r="15" spans="1:10" ht="84.9" customHeight="1" x14ac:dyDescent="0.3">
      <c r="A15" s="2" t="s">
        <v>155</v>
      </c>
      <c r="B15" s="2" t="s">
        <v>167</v>
      </c>
      <c r="C15" s="2" t="str">
        <f>Assessment!O15</f>
        <v/>
      </c>
      <c r="D15" s="2" t="str">
        <f>Assessment!P15</f>
        <v/>
      </c>
      <c r="E15" s="2" t="s">
        <v>177</v>
      </c>
      <c r="F15" s="2" t="s">
        <v>174</v>
      </c>
      <c r="G15" s="2" t="str">
        <f t="shared" si="0"/>
        <v/>
      </c>
      <c r="H15" s="2"/>
      <c r="I15" s="2" t="s">
        <v>211</v>
      </c>
      <c r="J15" s="2"/>
    </row>
    <row r="16" spans="1:10" ht="84.9" customHeight="1" x14ac:dyDescent="0.3">
      <c r="A16" s="2" t="s">
        <v>155</v>
      </c>
      <c r="B16" s="2" t="s">
        <v>178</v>
      </c>
      <c r="C16" s="2" t="str">
        <f>Assessment!O16</f>
        <v/>
      </c>
      <c r="D16" s="2" t="str">
        <f>Assessment!P16</f>
        <v/>
      </c>
      <c r="E16" s="2" t="s">
        <v>188</v>
      </c>
      <c r="F16" s="2" t="s">
        <v>185</v>
      </c>
      <c r="G16" s="2" t="str">
        <f t="shared" si="0"/>
        <v/>
      </c>
      <c r="H16" s="2"/>
      <c r="I16" s="2" t="s">
        <v>211</v>
      </c>
      <c r="J16" s="2"/>
    </row>
    <row r="17" spans="1:10" ht="84.9" customHeight="1" x14ac:dyDescent="0.3">
      <c r="A17" s="2" t="s">
        <v>155</v>
      </c>
      <c r="B17" s="2" t="s">
        <v>189</v>
      </c>
      <c r="C17" s="2" t="str">
        <f>Assessment!O17</f>
        <v/>
      </c>
      <c r="D17" s="2" t="str">
        <f>Assessment!P17</f>
        <v/>
      </c>
      <c r="E17" s="2" t="s">
        <v>199</v>
      </c>
      <c r="F17" s="2" t="s">
        <v>196</v>
      </c>
      <c r="G17" s="2" t="str">
        <f t="shared" si="0"/>
        <v/>
      </c>
      <c r="H17" s="2"/>
      <c r="I17" s="2" t="s">
        <v>211</v>
      </c>
      <c r="J17" s="2"/>
    </row>
  </sheetData>
  <autoFilter ref="A1:J17" xr:uid="{00000000-0009-0000-0000-000003000000}"/>
  <dataValidations count="1">
    <dataValidation type="list" allowBlank="1" sqref="I2:I17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65" customWidth="1"/>
    <col min="4" max="4" width="8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212</v>
      </c>
      <c r="E1" s="1" t="s">
        <v>213</v>
      </c>
    </row>
    <row r="2" spans="1:5" ht="84.9" customHeight="1" x14ac:dyDescent="0.3">
      <c r="A2" s="2" t="s">
        <v>20</v>
      </c>
      <c r="B2" s="2" t="s">
        <v>21</v>
      </c>
      <c r="C2" s="2" t="s">
        <v>28</v>
      </c>
      <c r="D2" s="2" t="s">
        <v>27</v>
      </c>
      <c r="E2" s="2" t="s">
        <v>214</v>
      </c>
    </row>
    <row r="3" spans="1:5" ht="84.9" customHeight="1" x14ac:dyDescent="0.3">
      <c r="A3" s="2" t="s">
        <v>20</v>
      </c>
      <c r="B3" s="2" t="s">
        <v>32</v>
      </c>
      <c r="C3" s="2" t="s">
        <v>39</v>
      </c>
      <c r="D3" s="2" t="s">
        <v>38</v>
      </c>
      <c r="E3" s="2" t="s">
        <v>214</v>
      </c>
    </row>
    <row r="4" spans="1:5" ht="84.9" customHeight="1" x14ac:dyDescent="0.3">
      <c r="A4" s="2" t="s">
        <v>20</v>
      </c>
      <c r="B4" s="2" t="s">
        <v>43</v>
      </c>
      <c r="C4" s="2" t="s">
        <v>50</v>
      </c>
      <c r="D4" s="2" t="s">
        <v>49</v>
      </c>
      <c r="E4" s="2" t="s">
        <v>214</v>
      </c>
    </row>
    <row r="5" spans="1:5" ht="84.9" customHeight="1" x14ac:dyDescent="0.3">
      <c r="A5" s="2" t="s">
        <v>20</v>
      </c>
      <c r="B5" s="2" t="s">
        <v>54</v>
      </c>
      <c r="C5" s="2" t="s">
        <v>61</v>
      </c>
      <c r="D5" s="2" t="s">
        <v>60</v>
      </c>
      <c r="E5" s="2" t="s">
        <v>214</v>
      </c>
    </row>
    <row r="6" spans="1:5" ht="84.9" customHeight="1" x14ac:dyDescent="0.3">
      <c r="A6" s="2" t="s">
        <v>65</v>
      </c>
      <c r="B6" s="2" t="s">
        <v>66</v>
      </c>
      <c r="C6" s="2" t="s">
        <v>73</v>
      </c>
      <c r="D6" s="2" t="s">
        <v>72</v>
      </c>
      <c r="E6" s="2" t="s">
        <v>214</v>
      </c>
    </row>
    <row r="7" spans="1:5" ht="84.9" customHeight="1" x14ac:dyDescent="0.3">
      <c r="A7" s="2" t="s">
        <v>65</v>
      </c>
      <c r="B7" s="2" t="s">
        <v>77</v>
      </c>
      <c r="C7" s="2" t="s">
        <v>84</v>
      </c>
      <c r="D7" s="2" t="s">
        <v>83</v>
      </c>
      <c r="E7" s="2" t="s">
        <v>214</v>
      </c>
    </row>
    <row r="8" spans="1:5" ht="84.9" customHeight="1" x14ac:dyDescent="0.3">
      <c r="A8" s="2" t="s">
        <v>65</v>
      </c>
      <c r="B8" s="2" t="s">
        <v>88</v>
      </c>
      <c r="C8" s="2" t="s">
        <v>95</v>
      </c>
      <c r="D8" s="2" t="s">
        <v>94</v>
      </c>
      <c r="E8" s="2" t="s">
        <v>214</v>
      </c>
    </row>
    <row r="9" spans="1:5" ht="84.9" customHeight="1" x14ac:dyDescent="0.3">
      <c r="A9" s="2" t="s">
        <v>65</v>
      </c>
      <c r="B9" s="2" t="s">
        <v>99</v>
      </c>
      <c r="C9" s="2" t="s">
        <v>106</v>
      </c>
      <c r="D9" s="2" t="s">
        <v>105</v>
      </c>
      <c r="E9" s="2" t="s">
        <v>214</v>
      </c>
    </row>
    <row r="10" spans="1:5" ht="84.9" customHeight="1" x14ac:dyDescent="0.3">
      <c r="A10" s="2" t="s">
        <v>110</v>
      </c>
      <c r="B10" s="2" t="s">
        <v>111</v>
      </c>
      <c r="C10" s="2" t="s">
        <v>118</v>
      </c>
      <c r="D10" s="2" t="s">
        <v>117</v>
      </c>
      <c r="E10" s="2" t="s">
        <v>214</v>
      </c>
    </row>
    <row r="11" spans="1:5" ht="84.9" customHeight="1" x14ac:dyDescent="0.3">
      <c r="A11" s="2" t="s">
        <v>110</v>
      </c>
      <c r="B11" s="2" t="s">
        <v>122</v>
      </c>
      <c r="C11" s="2" t="s">
        <v>129</v>
      </c>
      <c r="D11" s="2" t="s">
        <v>128</v>
      </c>
      <c r="E11" s="2" t="s">
        <v>214</v>
      </c>
    </row>
    <row r="12" spans="1:5" ht="84.9" customHeight="1" x14ac:dyDescent="0.3">
      <c r="A12" s="2" t="s">
        <v>110</v>
      </c>
      <c r="B12" s="2" t="s">
        <v>133</v>
      </c>
      <c r="C12" s="2" t="s">
        <v>140</v>
      </c>
      <c r="D12" s="2" t="s">
        <v>139</v>
      </c>
      <c r="E12" s="2" t="s">
        <v>214</v>
      </c>
    </row>
    <row r="13" spans="1:5" ht="84.9" customHeight="1" x14ac:dyDescent="0.3">
      <c r="A13" s="2" t="s">
        <v>110</v>
      </c>
      <c r="B13" s="2" t="s">
        <v>144</v>
      </c>
      <c r="C13" s="2" t="s">
        <v>151</v>
      </c>
      <c r="D13" s="2" t="s">
        <v>150</v>
      </c>
      <c r="E13" s="2" t="s">
        <v>214</v>
      </c>
    </row>
    <row r="14" spans="1:5" ht="84.9" customHeight="1" x14ac:dyDescent="0.3">
      <c r="A14" s="2" t="s">
        <v>155</v>
      </c>
      <c r="B14" s="2" t="s">
        <v>156</v>
      </c>
      <c r="C14" s="2" t="s">
        <v>163</v>
      </c>
      <c r="D14" s="2" t="s">
        <v>162</v>
      </c>
      <c r="E14" s="2" t="s">
        <v>214</v>
      </c>
    </row>
    <row r="15" spans="1:5" ht="84.9" customHeight="1" x14ac:dyDescent="0.3">
      <c r="A15" s="2" t="s">
        <v>155</v>
      </c>
      <c r="B15" s="2" t="s">
        <v>167</v>
      </c>
      <c r="C15" s="2" t="s">
        <v>174</v>
      </c>
      <c r="D15" s="2" t="s">
        <v>173</v>
      </c>
      <c r="E15" s="2" t="s">
        <v>214</v>
      </c>
    </row>
    <row r="16" spans="1:5" ht="84.9" customHeight="1" x14ac:dyDescent="0.3">
      <c r="A16" s="2" t="s">
        <v>155</v>
      </c>
      <c r="B16" s="2" t="s">
        <v>178</v>
      </c>
      <c r="C16" s="2" t="s">
        <v>185</v>
      </c>
      <c r="D16" s="2" t="s">
        <v>184</v>
      </c>
      <c r="E16" s="2" t="s">
        <v>214</v>
      </c>
    </row>
    <row r="17" spans="1:5" ht="84.9" customHeight="1" x14ac:dyDescent="0.3">
      <c r="A17" s="2" t="s">
        <v>155</v>
      </c>
      <c r="B17" s="2" t="s">
        <v>189</v>
      </c>
      <c r="C17" s="2" t="s">
        <v>196</v>
      </c>
      <c r="D17" s="2" t="s">
        <v>195</v>
      </c>
      <c r="E17" s="2" t="s">
        <v>214</v>
      </c>
    </row>
  </sheetData>
  <autoFilter ref="A1:E17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215</v>
      </c>
      <c r="B1" s="1"/>
    </row>
    <row r="2" spans="1:2" ht="30" customHeight="1" x14ac:dyDescent="0.3">
      <c r="A2" s="5" t="s">
        <v>216</v>
      </c>
      <c r="B2" s="5"/>
    </row>
    <row r="3" spans="1:2" ht="30" customHeight="1" x14ac:dyDescent="0.3">
      <c r="A3" s="2" t="s">
        <v>3</v>
      </c>
      <c r="B3" s="2" t="s">
        <v>217</v>
      </c>
    </row>
    <row r="4" spans="1:2" ht="30" customHeight="1" x14ac:dyDescent="0.3">
      <c r="A4" s="2" t="s">
        <v>4</v>
      </c>
      <c r="B4" s="2" t="s">
        <v>218</v>
      </c>
    </row>
    <row r="5" spans="1:2" ht="30" customHeight="1" x14ac:dyDescent="0.3">
      <c r="A5" s="2" t="s">
        <v>5</v>
      </c>
      <c r="B5" s="2" t="s">
        <v>219</v>
      </c>
    </row>
    <row r="6" spans="1:2" ht="30" customHeight="1" x14ac:dyDescent="0.3">
      <c r="A6" s="2" t="s">
        <v>6</v>
      </c>
      <c r="B6" s="2" t="s">
        <v>220</v>
      </c>
    </row>
    <row r="7" spans="1:2" ht="30" customHeight="1" x14ac:dyDescent="0.3">
      <c r="A7" s="2" t="s">
        <v>221</v>
      </c>
      <c r="B7" s="2" t="s">
        <v>222</v>
      </c>
    </row>
    <row r="8" spans="1:2" ht="30" customHeight="1" x14ac:dyDescent="0.3">
      <c r="A8" s="2"/>
      <c r="B8" s="2"/>
    </row>
    <row r="9" spans="1:2" ht="30" customHeight="1" x14ac:dyDescent="0.3">
      <c r="A9" s="5" t="s">
        <v>223</v>
      </c>
      <c r="B9" s="5"/>
    </row>
    <row r="10" spans="1:2" ht="30" customHeight="1" x14ac:dyDescent="0.3">
      <c r="A10" s="2" t="s">
        <v>3</v>
      </c>
      <c r="B10" s="2" t="s">
        <v>224</v>
      </c>
    </row>
    <row r="11" spans="1:2" ht="30" customHeight="1" x14ac:dyDescent="0.3">
      <c r="A11" s="2" t="s">
        <v>4</v>
      </c>
      <c r="B11" s="2" t="s">
        <v>225</v>
      </c>
    </row>
    <row r="12" spans="1:2" ht="30" customHeight="1" x14ac:dyDescent="0.3">
      <c r="A12" s="2" t="s">
        <v>5</v>
      </c>
      <c r="B12" s="2" t="s">
        <v>226</v>
      </c>
    </row>
    <row r="13" spans="1:2" ht="30" customHeight="1" x14ac:dyDescent="0.3">
      <c r="A13" s="2" t="s">
        <v>6</v>
      </c>
      <c r="B13" s="2" t="s">
        <v>227</v>
      </c>
    </row>
    <row r="14" spans="1:2" ht="30" customHeight="1" x14ac:dyDescent="0.3">
      <c r="A14" s="2" t="s">
        <v>221</v>
      </c>
      <c r="B14" s="2" t="s">
        <v>228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229</v>
      </c>
      <c r="B16" s="5"/>
    </row>
    <row r="17" spans="1:2" ht="30" customHeight="1" x14ac:dyDescent="0.3">
      <c r="A17" s="2" t="s">
        <v>3</v>
      </c>
      <c r="B17" s="2" t="s">
        <v>230</v>
      </c>
    </row>
    <row r="18" spans="1:2" ht="30" customHeight="1" x14ac:dyDescent="0.3">
      <c r="A18" s="2" t="s">
        <v>4</v>
      </c>
      <c r="B18" s="2" t="s">
        <v>231</v>
      </c>
    </row>
    <row r="19" spans="1:2" ht="30" customHeight="1" x14ac:dyDescent="0.3">
      <c r="A19" s="2" t="s">
        <v>5</v>
      </c>
      <c r="B19" s="2" t="s">
        <v>232</v>
      </c>
    </row>
    <row r="20" spans="1:2" ht="30" customHeight="1" x14ac:dyDescent="0.3">
      <c r="A20" s="2" t="s">
        <v>6</v>
      </c>
      <c r="B20" s="2" t="s">
        <v>233</v>
      </c>
    </row>
    <row r="21" spans="1:2" ht="30" customHeight="1" x14ac:dyDescent="0.3">
      <c r="A21" s="2" t="s">
        <v>221</v>
      </c>
      <c r="B21" s="2" t="s">
        <v>234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235</v>
      </c>
      <c r="B23" s="5"/>
    </row>
    <row r="24" spans="1:2" ht="30" customHeight="1" x14ac:dyDescent="0.3">
      <c r="A24" s="2" t="s">
        <v>236</v>
      </c>
      <c r="B24" s="2" t="s">
        <v>237</v>
      </c>
    </row>
    <row r="25" spans="1:2" ht="30" customHeight="1" x14ac:dyDescent="0.3">
      <c r="A25" s="2" t="s">
        <v>238</v>
      </c>
      <c r="B25" s="2" t="s">
        <v>239</v>
      </c>
    </row>
    <row r="26" spans="1:2" ht="30" customHeight="1" x14ac:dyDescent="0.3">
      <c r="A26" s="2" t="s">
        <v>240</v>
      </c>
      <c r="B26" s="2" t="s">
        <v>241</v>
      </c>
    </row>
    <row r="27" spans="1:2" ht="30" customHeight="1" x14ac:dyDescent="0.3">
      <c r="A27" s="2" t="s">
        <v>242</v>
      </c>
      <c r="B27" s="2" t="s">
        <v>243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244</v>
      </c>
      <c r="B1" s="8"/>
    </row>
    <row r="2" spans="1:2" ht="30" customHeight="1" x14ac:dyDescent="0.3">
      <c r="A2" s="6" t="s">
        <v>245</v>
      </c>
      <c r="B2" s="2" t="s">
        <v>246</v>
      </c>
    </row>
    <row r="3" spans="1:2" ht="30" customHeight="1" x14ac:dyDescent="0.3">
      <c r="A3" s="6" t="s">
        <v>247</v>
      </c>
      <c r="B3" s="2" t="s">
        <v>248</v>
      </c>
    </row>
    <row r="4" spans="1:2" ht="30" customHeight="1" x14ac:dyDescent="0.3">
      <c r="A4" s="6" t="s">
        <v>249</v>
      </c>
      <c r="B4" s="2" t="s">
        <v>250</v>
      </c>
    </row>
    <row r="5" spans="1:2" ht="30" customHeight="1" x14ac:dyDescent="0.3">
      <c r="A5" s="6" t="s">
        <v>251</v>
      </c>
      <c r="B5" s="2" t="s">
        <v>252</v>
      </c>
    </row>
    <row r="6" spans="1:2" ht="30" customHeight="1" x14ac:dyDescent="0.3">
      <c r="A6" s="6" t="s">
        <v>253</v>
      </c>
      <c r="B6" s="2" t="s">
        <v>254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E2FBA1B-C277-4050-BF12-4BDEF85FCCF8}"/>
</file>

<file path=customXml/itemProps2.xml><?xml version="1.0" encoding="utf-8"?>
<ds:datastoreItem xmlns:ds="http://schemas.openxmlformats.org/officeDocument/2006/customXml" ds:itemID="{F75EEB5D-E444-4C45-A362-0F1BA81BC85D}"/>
</file>

<file path=customXml/itemProps3.xml><?xml version="1.0" encoding="utf-8"?>
<ds:datastoreItem xmlns:ds="http://schemas.openxmlformats.org/officeDocument/2006/customXml" ds:itemID="{A295C130-346F-42E0-958A-E8125FFF87A4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Colomer Flores, Jorge Antonio</dc:creator>
  <cp:keywords/>
  <dc:description/>
  <cp:lastModifiedBy>Colomer Flores, Jorge Antonio</cp:lastModifiedBy>
  <cp:revision/>
  <dcterms:created xsi:type="dcterms:W3CDTF">2026-07-28T13:47:26Z</dcterms:created>
  <dcterms:modified xsi:type="dcterms:W3CDTF">2026-07-28T13:51:46Z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